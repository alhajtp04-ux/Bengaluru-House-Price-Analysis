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xml" ContentType="application/vnd.ms-office.chartstyle+xml"/>
  <Override PartName="/xl/charts/colors1.xml" ContentType="application/vnd.ms-office.chartcolorstyle+xml"/>
  <Override PartName="/xl/charts/chart19.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slicers/slicer1.xml" ContentType="application/vnd.ms-excel.slicer+xml"/>
  <Override PartName="/xl/charts/chart20.xml" ContentType="application/vnd.openxmlformats-officedocument.drawingml.chart+xml"/>
  <Override PartName="/xl/charts/style3.xml" ContentType="application/vnd.ms-office.chartstyle+xml"/>
  <Override PartName="/xl/charts/colors3.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style4.xml" ContentType="application/vnd.ms-office.chartstyle+xml"/>
  <Override PartName="/xl/charts/colors4.xml" ContentType="application/vnd.ms-office.chartcolorstyle+xml"/>
  <Override PartName="/xl/charts/chart23.xml" ContentType="application/vnd.openxmlformats-officedocument.drawingml.chart+xml"/>
  <Override PartName="/xl/charts/style5.xml" ContentType="application/vnd.ms-office.chartstyle+xml"/>
  <Override PartName="/xl/charts/colors5.xml" ContentType="application/vnd.ms-office.chartcolorstyle+xml"/>
  <Override PartName="/xl/charts/chart2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Pc\Documents\EXCEL\Bengluru_house_price\"/>
    </mc:Choice>
  </mc:AlternateContent>
  <xr:revisionPtr revIDLastSave="0" documentId="13_ncr:1_{ABD72F45-AA85-462D-826F-27B5F26427E6}" xr6:coauthVersionLast="47" xr6:coauthVersionMax="47" xr10:uidLastSave="{00000000-0000-0000-0000-000000000000}"/>
  <bookViews>
    <workbookView xWindow="-120" yWindow="-120" windowWidth="29040" windowHeight="16440" activeTab="3" xr2:uid="{00000000-000D-0000-FFFF-FFFF00000000}"/>
  </bookViews>
  <sheets>
    <sheet name="Sheet2" sheetId="1" r:id="rId1"/>
    <sheet name="Sheet3" sheetId="2" r:id="rId2"/>
    <sheet name="Sheet1" sheetId="3" r:id="rId3"/>
    <sheet name="Sheet4" sheetId="4" r:id="rId4"/>
    <sheet name=" BENGALURU HOUSE PRICE" sheetId="5" r:id="rId5"/>
  </sheets>
  <definedNames>
    <definedName name="ExternalData_3" localSheetId="4">' BENGALURU HOUSE PRICE'!$A$1:$D$1256</definedName>
    <definedName name="Slicer_Area_Type">#REF!</definedName>
    <definedName name="Slicer_location">#REF!</definedName>
    <definedName name="Slicer_PRICE">#REF!</definedName>
    <definedName name="Slicer_PRICE_CATEGORY">#REF!</definedName>
    <definedName name="Slicer_PRICE_CATEGORY1">#REF!</definedName>
    <definedName name="Slicer_SIZE__ROOM">#REF!</definedName>
    <definedName name="SlicerCache_Table_1_Col_1">#N/A</definedName>
    <definedName name="SlicerCache_Table_1_Col_6">#N/A</definedName>
    <definedName name="SlicerCache_Table_1_Col_8">#N/A</definedName>
    <definedName name="Z_84C94AF0_73C6_4918_A7C9_ADB795158F72_.wvu.FilterData" localSheetId="4" hidden="1">' BENGALURU HOUSE PRICE'!$A$1:$H$1256</definedName>
  </definedNames>
  <calcPr calcId="191029"/>
  <customWorkbookViews>
    <customWorkbookView name="Filter 1" guid="{84C94AF0-73C6-4918-A7C9-ADB795158F72}" maximized="1" windowWidth="0" windowHeight="0" activeSheetId="0"/>
  </customWorkbookViews>
  <pivotCaches>
    <pivotCache cacheId="4"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pxu17fJEvjnIoytP/lnaADsxesYmlG9nAlHfTDPHXTA="/>
    </ext>
  </extLst>
</workbook>
</file>

<file path=xl/calcChain.xml><?xml version="1.0" encoding="utf-8"?>
<calcChain xmlns="http://schemas.openxmlformats.org/spreadsheetml/2006/main">
  <c r="H1256" i="5" l="1"/>
  <c r="F1256" i="5"/>
  <c r="H1255" i="5"/>
  <c r="F1255" i="5"/>
  <c r="H1254" i="5"/>
  <c r="F1254" i="5"/>
  <c r="H1253" i="5"/>
  <c r="F1253" i="5"/>
  <c r="H1252" i="5"/>
  <c r="F1252" i="5"/>
  <c r="H1251" i="5"/>
  <c r="F1251" i="5"/>
  <c r="H1250" i="5"/>
  <c r="F1250" i="5"/>
  <c r="H1249" i="5"/>
  <c r="F1249" i="5"/>
  <c r="H1248" i="5"/>
  <c r="F1248" i="5"/>
  <c r="H1247" i="5"/>
  <c r="F1247" i="5"/>
  <c r="H1246" i="5"/>
  <c r="F1246" i="5"/>
  <c r="H1245" i="5"/>
  <c r="F1245" i="5"/>
  <c r="H1244" i="5"/>
  <c r="F1244" i="5"/>
  <c r="H1243" i="5"/>
  <c r="F1243" i="5"/>
  <c r="H1242" i="5"/>
  <c r="F1242" i="5"/>
  <c r="H1241" i="5"/>
  <c r="F1241" i="5"/>
  <c r="H1240" i="5"/>
  <c r="F1240" i="5"/>
  <c r="H1239" i="5"/>
  <c r="F1239" i="5"/>
  <c r="H1238" i="5"/>
  <c r="F1238" i="5"/>
  <c r="H1237" i="5"/>
  <c r="F1237" i="5"/>
  <c r="H1236" i="5"/>
  <c r="F1236" i="5"/>
  <c r="H1235" i="5"/>
  <c r="F1235" i="5"/>
  <c r="H1234" i="5"/>
  <c r="F1234" i="5"/>
  <c r="H1233" i="5"/>
  <c r="F1233" i="5"/>
  <c r="H1232" i="5"/>
  <c r="F1232" i="5"/>
  <c r="H1231" i="5"/>
  <c r="F1231" i="5"/>
  <c r="H1230" i="5"/>
  <c r="F1230" i="5"/>
  <c r="H1229" i="5"/>
  <c r="F1229" i="5"/>
  <c r="H1228" i="5"/>
  <c r="F1228" i="5"/>
  <c r="H1227" i="5"/>
  <c r="F1227" i="5"/>
  <c r="H1226" i="5"/>
  <c r="F1226" i="5"/>
  <c r="H1225" i="5"/>
  <c r="F1225" i="5"/>
  <c r="H1224" i="5"/>
  <c r="F1224" i="5"/>
  <c r="H1223" i="5"/>
  <c r="F1223" i="5"/>
  <c r="H1222" i="5"/>
  <c r="F1222" i="5"/>
  <c r="H1221" i="5"/>
  <c r="F1221" i="5"/>
  <c r="H1220" i="5"/>
  <c r="F1220" i="5"/>
  <c r="H1219" i="5"/>
  <c r="F1219" i="5"/>
  <c r="H1218" i="5"/>
  <c r="F1218" i="5"/>
  <c r="H1217" i="5"/>
  <c r="F1217" i="5"/>
  <c r="H1216" i="5"/>
  <c r="F1216" i="5"/>
  <c r="H1215" i="5"/>
  <c r="F1215" i="5"/>
  <c r="H1214" i="5"/>
  <c r="F1214" i="5"/>
  <c r="H1213" i="5"/>
  <c r="F1213" i="5"/>
  <c r="H1212" i="5"/>
  <c r="F1212" i="5"/>
  <c r="H1211" i="5"/>
  <c r="F1211" i="5"/>
  <c r="H1210" i="5"/>
  <c r="F1210" i="5"/>
  <c r="H1209" i="5"/>
  <c r="F1209" i="5"/>
  <c r="H1208" i="5"/>
  <c r="F1208" i="5"/>
  <c r="H1207" i="5"/>
  <c r="F1207" i="5"/>
  <c r="H1206" i="5"/>
  <c r="F1206" i="5"/>
  <c r="H1205" i="5"/>
  <c r="F1205" i="5"/>
  <c r="H1204" i="5"/>
  <c r="F1204" i="5"/>
  <c r="H1203" i="5"/>
  <c r="F1203" i="5"/>
  <c r="H1202" i="5"/>
  <c r="F1202" i="5"/>
  <c r="H1201" i="5"/>
  <c r="F1201" i="5"/>
  <c r="H1200" i="5"/>
  <c r="F1200" i="5"/>
  <c r="H1199" i="5"/>
  <c r="F1199" i="5"/>
  <c r="H1198" i="5"/>
  <c r="F1198" i="5"/>
  <c r="H1197" i="5"/>
  <c r="F1197" i="5"/>
  <c r="H1196" i="5"/>
  <c r="F1196" i="5"/>
  <c r="H1195" i="5"/>
  <c r="F1195" i="5"/>
  <c r="H1194" i="5"/>
  <c r="F1194" i="5"/>
  <c r="H1193" i="5"/>
  <c r="F1193" i="5"/>
  <c r="H1192" i="5"/>
  <c r="F1192" i="5"/>
  <c r="H1191" i="5"/>
  <c r="F1191" i="5"/>
  <c r="H1190" i="5"/>
  <c r="F1190" i="5"/>
  <c r="H1189" i="5"/>
  <c r="F1189" i="5"/>
  <c r="H1188" i="5"/>
  <c r="F1188" i="5"/>
  <c r="H1187" i="5"/>
  <c r="F1187" i="5"/>
  <c r="H1186" i="5"/>
  <c r="F1186" i="5"/>
  <c r="H1185" i="5"/>
  <c r="F1185" i="5"/>
  <c r="H1184" i="5"/>
  <c r="F1184" i="5"/>
  <c r="H1183" i="5"/>
  <c r="F1183" i="5"/>
  <c r="H1182" i="5"/>
  <c r="F1182" i="5"/>
  <c r="H1181" i="5"/>
  <c r="F1181" i="5"/>
  <c r="H1180" i="5"/>
  <c r="F1180" i="5"/>
  <c r="H1179" i="5"/>
  <c r="F1179" i="5"/>
  <c r="H1178" i="5"/>
  <c r="F1178" i="5"/>
  <c r="H1177" i="5"/>
  <c r="F1177" i="5"/>
  <c r="H1176" i="5"/>
  <c r="F1176" i="5"/>
  <c r="H1175" i="5"/>
  <c r="F1175" i="5"/>
  <c r="H1174" i="5"/>
  <c r="F1174" i="5"/>
  <c r="H1173" i="5"/>
  <c r="F1173" i="5"/>
  <c r="H1172" i="5"/>
  <c r="F1172" i="5"/>
  <c r="H1171" i="5"/>
  <c r="F1171" i="5"/>
  <c r="H1170" i="5"/>
  <c r="F1170" i="5"/>
  <c r="H1169" i="5"/>
  <c r="F1169" i="5"/>
  <c r="H1168" i="5"/>
  <c r="F1168" i="5"/>
  <c r="H1167" i="5"/>
  <c r="F1167" i="5"/>
  <c r="H1166" i="5"/>
  <c r="F1166" i="5"/>
  <c r="H1165" i="5"/>
  <c r="F1165" i="5"/>
  <c r="H1164" i="5"/>
  <c r="F1164" i="5"/>
  <c r="H1163" i="5"/>
  <c r="F1163" i="5"/>
  <c r="H1162" i="5"/>
  <c r="F1162" i="5"/>
  <c r="H1161" i="5"/>
  <c r="F1161" i="5"/>
  <c r="H1160" i="5"/>
  <c r="F1160" i="5"/>
  <c r="H1159" i="5"/>
  <c r="F1159" i="5"/>
  <c r="H1158" i="5"/>
  <c r="F1158" i="5"/>
  <c r="H1157" i="5"/>
  <c r="F1157" i="5"/>
  <c r="H1156" i="5"/>
  <c r="F1156" i="5"/>
  <c r="H1155" i="5"/>
  <c r="F1155" i="5"/>
  <c r="H1154" i="5"/>
  <c r="F1154" i="5"/>
  <c r="H1153" i="5"/>
  <c r="F1153" i="5"/>
  <c r="H1152" i="5"/>
  <c r="F1152" i="5"/>
  <c r="H1151" i="5"/>
  <c r="F1151" i="5"/>
  <c r="H1150" i="5"/>
  <c r="F1150" i="5"/>
  <c r="H1149" i="5"/>
  <c r="F1149" i="5"/>
  <c r="H1148" i="5"/>
  <c r="F1148" i="5"/>
  <c r="H1147" i="5"/>
  <c r="F1147" i="5"/>
  <c r="H1146" i="5"/>
  <c r="F1146" i="5"/>
  <c r="H1145" i="5"/>
  <c r="F1145" i="5"/>
  <c r="H1144" i="5"/>
  <c r="F1144" i="5"/>
  <c r="H1143" i="5"/>
  <c r="F1143" i="5"/>
  <c r="H1142" i="5"/>
  <c r="F1142" i="5"/>
  <c r="H1141" i="5"/>
  <c r="F1141" i="5"/>
  <c r="H1140" i="5"/>
  <c r="F1140" i="5"/>
  <c r="H1139" i="5"/>
  <c r="F1139" i="5"/>
  <c r="H1138" i="5"/>
  <c r="F1138" i="5"/>
  <c r="H1137" i="5"/>
  <c r="F1137" i="5"/>
  <c r="H1136" i="5"/>
  <c r="F1136" i="5"/>
  <c r="H1135" i="5"/>
  <c r="F1135" i="5"/>
  <c r="H1134" i="5"/>
  <c r="F1134" i="5"/>
  <c r="H1133" i="5"/>
  <c r="F1133" i="5"/>
  <c r="H1132" i="5"/>
  <c r="F1132" i="5"/>
  <c r="H1131" i="5"/>
  <c r="F1131" i="5"/>
  <c r="H1130" i="5"/>
  <c r="F1130" i="5"/>
  <c r="H1129" i="5"/>
  <c r="F1129" i="5"/>
  <c r="H1128" i="5"/>
  <c r="F1128" i="5"/>
  <c r="H1127" i="5"/>
  <c r="F1127" i="5"/>
  <c r="H1126" i="5"/>
  <c r="F1126" i="5"/>
  <c r="H1125" i="5"/>
  <c r="F1125" i="5"/>
  <c r="H1124" i="5"/>
  <c r="F1124" i="5"/>
  <c r="H1123" i="5"/>
  <c r="F1123" i="5"/>
  <c r="H1122" i="5"/>
  <c r="F1122" i="5"/>
  <c r="H1121" i="5"/>
  <c r="F1121" i="5"/>
  <c r="H1120" i="5"/>
  <c r="F1120" i="5"/>
  <c r="H1119" i="5"/>
  <c r="F1119" i="5"/>
  <c r="H1118" i="5"/>
  <c r="F1118" i="5"/>
  <c r="H1117" i="5"/>
  <c r="F1117" i="5"/>
  <c r="H1116" i="5"/>
  <c r="F1116" i="5"/>
  <c r="H1115" i="5"/>
  <c r="F1115" i="5"/>
  <c r="H1114" i="5"/>
  <c r="F1114" i="5"/>
  <c r="H1113" i="5"/>
  <c r="F1113" i="5"/>
  <c r="H1112" i="5"/>
  <c r="F1112" i="5"/>
  <c r="H1111" i="5"/>
  <c r="F1111" i="5"/>
  <c r="H1110" i="5"/>
  <c r="F1110" i="5"/>
  <c r="H1109" i="5"/>
  <c r="F1109" i="5"/>
  <c r="H1108" i="5"/>
  <c r="F1108" i="5"/>
  <c r="H1107" i="5"/>
  <c r="F1107" i="5"/>
  <c r="H1106" i="5"/>
  <c r="F1106" i="5"/>
  <c r="H1105" i="5"/>
  <c r="F1105" i="5"/>
  <c r="H1104" i="5"/>
  <c r="F1104" i="5"/>
  <c r="H1103" i="5"/>
  <c r="F1103" i="5"/>
  <c r="H1102" i="5"/>
  <c r="F1102" i="5"/>
  <c r="H1101" i="5"/>
  <c r="F1101" i="5"/>
  <c r="H1100" i="5"/>
  <c r="F1100" i="5"/>
  <c r="H1099" i="5"/>
  <c r="F1099" i="5"/>
  <c r="H1098" i="5"/>
  <c r="F1098" i="5"/>
  <c r="H1097" i="5"/>
  <c r="F1097" i="5"/>
  <c r="H1096" i="5"/>
  <c r="F1096" i="5"/>
  <c r="H1095" i="5"/>
  <c r="F1095" i="5"/>
  <c r="H1094" i="5"/>
  <c r="F1094" i="5"/>
  <c r="H1093" i="5"/>
  <c r="F1093" i="5"/>
  <c r="H1092" i="5"/>
  <c r="F1092" i="5"/>
  <c r="H1091" i="5"/>
  <c r="F1091" i="5"/>
  <c r="H1090" i="5"/>
  <c r="F1090" i="5"/>
  <c r="H1089" i="5"/>
  <c r="F1089" i="5"/>
  <c r="H1088" i="5"/>
  <c r="F1088" i="5"/>
  <c r="H1087" i="5"/>
  <c r="F1087" i="5"/>
  <c r="H1086" i="5"/>
  <c r="F1086" i="5"/>
  <c r="H1085" i="5"/>
  <c r="F1085" i="5"/>
  <c r="H1084" i="5"/>
  <c r="F1084" i="5"/>
  <c r="H1083" i="5"/>
  <c r="F1083" i="5"/>
  <c r="H1082" i="5"/>
  <c r="F1082" i="5"/>
  <c r="H1081" i="5"/>
  <c r="F1081" i="5"/>
  <c r="H1080" i="5"/>
  <c r="F1080" i="5"/>
  <c r="H1079" i="5"/>
  <c r="F1079" i="5"/>
  <c r="H1078" i="5"/>
  <c r="F1078" i="5"/>
  <c r="H1077" i="5"/>
  <c r="F1077" i="5"/>
  <c r="H1076" i="5"/>
  <c r="F1076" i="5"/>
  <c r="H1075" i="5"/>
  <c r="F1075" i="5"/>
  <c r="H1074" i="5"/>
  <c r="F1074" i="5"/>
  <c r="H1073" i="5"/>
  <c r="F1073" i="5"/>
  <c r="H1072" i="5"/>
  <c r="F1072" i="5"/>
  <c r="H1071" i="5"/>
  <c r="F1071" i="5"/>
  <c r="H1070" i="5"/>
  <c r="F1070" i="5"/>
  <c r="H1069" i="5"/>
  <c r="F1069" i="5"/>
  <c r="H1068" i="5"/>
  <c r="F1068" i="5"/>
  <c r="H1067" i="5"/>
  <c r="F1067" i="5"/>
  <c r="H1066" i="5"/>
  <c r="F1066" i="5"/>
  <c r="H1065" i="5"/>
  <c r="F1065" i="5"/>
  <c r="H1064" i="5"/>
  <c r="F1064" i="5"/>
  <c r="H1063" i="5"/>
  <c r="F1063" i="5"/>
  <c r="H1062" i="5"/>
  <c r="F1062" i="5"/>
  <c r="H1061" i="5"/>
  <c r="F1061" i="5"/>
  <c r="H1060" i="5"/>
  <c r="F1060" i="5"/>
  <c r="H1059" i="5"/>
  <c r="F1059" i="5"/>
  <c r="H1058" i="5"/>
  <c r="F1058" i="5"/>
  <c r="H1057" i="5"/>
  <c r="F1057" i="5"/>
  <c r="H1056" i="5"/>
  <c r="F1056" i="5"/>
  <c r="H1055" i="5"/>
  <c r="F1055" i="5"/>
  <c r="H1054" i="5"/>
  <c r="F1054" i="5"/>
  <c r="H1053" i="5"/>
  <c r="F1053" i="5"/>
  <c r="H1052" i="5"/>
  <c r="F1052" i="5"/>
  <c r="H1051" i="5"/>
  <c r="F1051" i="5"/>
  <c r="H1050" i="5"/>
  <c r="F1050" i="5"/>
  <c r="H1049" i="5"/>
  <c r="F1049" i="5"/>
  <c r="H1048" i="5"/>
  <c r="F1048" i="5"/>
  <c r="H1047" i="5"/>
  <c r="F1047" i="5"/>
  <c r="H1046" i="5"/>
  <c r="F1046" i="5"/>
  <c r="H1045" i="5"/>
  <c r="F1045" i="5"/>
  <c r="H1044" i="5"/>
  <c r="F1044" i="5"/>
  <c r="H1043" i="5"/>
  <c r="F1043" i="5"/>
  <c r="H1042" i="5"/>
  <c r="F1042" i="5"/>
  <c r="H1041" i="5"/>
  <c r="F1041" i="5"/>
  <c r="H1040" i="5"/>
  <c r="F1040" i="5"/>
  <c r="H1039" i="5"/>
  <c r="F1039" i="5"/>
  <c r="H1038" i="5"/>
  <c r="F1038" i="5"/>
  <c r="H1037" i="5"/>
  <c r="F1037" i="5"/>
  <c r="H1036" i="5"/>
  <c r="F1036" i="5"/>
  <c r="H1035" i="5"/>
  <c r="F1035" i="5"/>
  <c r="H1034" i="5"/>
  <c r="F1034" i="5"/>
  <c r="H1033" i="5"/>
  <c r="F1033" i="5"/>
  <c r="H1032" i="5"/>
  <c r="F1032" i="5"/>
  <c r="H1031" i="5"/>
  <c r="F1031" i="5"/>
  <c r="H1030" i="5"/>
  <c r="F1030" i="5"/>
  <c r="H1029" i="5"/>
  <c r="F1029" i="5"/>
  <c r="H1028" i="5"/>
  <c r="F1028" i="5"/>
  <c r="H1027" i="5"/>
  <c r="F1027" i="5"/>
  <c r="H1026" i="5"/>
  <c r="F1026" i="5"/>
  <c r="H1025" i="5"/>
  <c r="F1025" i="5"/>
  <c r="H1024" i="5"/>
  <c r="F1024" i="5"/>
  <c r="H1023" i="5"/>
  <c r="F1023" i="5"/>
  <c r="H1022" i="5"/>
  <c r="F1022" i="5"/>
  <c r="H1021" i="5"/>
  <c r="F1021" i="5"/>
  <c r="H1020" i="5"/>
  <c r="F1020" i="5"/>
  <c r="H1019" i="5"/>
  <c r="F1019" i="5"/>
  <c r="H1018" i="5"/>
  <c r="F1018" i="5"/>
  <c r="H1017" i="5"/>
  <c r="F1017" i="5"/>
  <c r="H1016" i="5"/>
  <c r="F1016" i="5"/>
  <c r="H1015" i="5"/>
  <c r="F1015" i="5"/>
  <c r="H1014" i="5"/>
  <c r="F1014" i="5"/>
  <c r="H1013" i="5"/>
  <c r="F1013" i="5"/>
  <c r="H1012" i="5"/>
  <c r="F1012" i="5"/>
  <c r="H1011" i="5"/>
  <c r="F1011" i="5"/>
  <c r="H1010" i="5"/>
  <c r="F1010" i="5"/>
  <c r="H1009" i="5"/>
  <c r="F1009" i="5"/>
  <c r="H1008" i="5"/>
  <c r="F1008" i="5"/>
  <c r="H1007" i="5"/>
  <c r="F1007" i="5"/>
  <c r="H1006" i="5"/>
  <c r="F1006" i="5"/>
  <c r="H1005" i="5"/>
  <c r="F1005" i="5"/>
  <c r="H1004" i="5"/>
  <c r="F1004" i="5"/>
  <c r="H1003" i="5"/>
  <c r="F1003" i="5"/>
  <c r="H1002" i="5"/>
  <c r="F1002" i="5"/>
  <c r="H1001" i="5"/>
  <c r="F1001" i="5"/>
  <c r="H1000" i="5"/>
  <c r="F1000" i="5"/>
  <c r="H999" i="5"/>
  <c r="F999" i="5"/>
  <c r="H998" i="5"/>
  <c r="F998" i="5"/>
  <c r="H997" i="5"/>
  <c r="F997" i="5"/>
  <c r="H996" i="5"/>
  <c r="F996" i="5"/>
  <c r="H995" i="5"/>
  <c r="F995" i="5"/>
  <c r="H994" i="5"/>
  <c r="F994" i="5"/>
  <c r="H993" i="5"/>
  <c r="F993" i="5"/>
  <c r="H992" i="5"/>
  <c r="F992" i="5"/>
  <c r="H991" i="5"/>
  <c r="F991" i="5"/>
  <c r="H990" i="5"/>
  <c r="F990" i="5"/>
  <c r="H989" i="5"/>
  <c r="F989" i="5"/>
  <c r="H988" i="5"/>
  <c r="F988" i="5"/>
  <c r="H987" i="5"/>
  <c r="F987" i="5"/>
  <c r="H986" i="5"/>
  <c r="F986" i="5"/>
  <c r="H985" i="5"/>
  <c r="F985" i="5"/>
  <c r="H984" i="5"/>
  <c r="F984" i="5"/>
  <c r="H983" i="5"/>
  <c r="F983" i="5"/>
  <c r="H982" i="5"/>
  <c r="F982" i="5"/>
  <c r="H981" i="5"/>
  <c r="F981" i="5"/>
  <c r="H980" i="5"/>
  <c r="F980" i="5"/>
  <c r="H979" i="5"/>
  <c r="F979" i="5"/>
  <c r="H978" i="5"/>
  <c r="F978" i="5"/>
  <c r="H977" i="5"/>
  <c r="F977" i="5"/>
  <c r="H976" i="5"/>
  <c r="F976" i="5"/>
  <c r="H975" i="5"/>
  <c r="F975" i="5"/>
  <c r="H974" i="5"/>
  <c r="F974" i="5"/>
  <c r="H973" i="5"/>
  <c r="F973" i="5"/>
  <c r="H972" i="5"/>
  <c r="F972" i="5"/>
  <c r="H971" i="5"/>
  <c r="F971" i="5"/>
  <c r="H970" i="5"/>
  <c r="F970" i="5"/>
  <c r="H969" i="5"/>
  <c r="F969" i="5"/>
  <c r="H968" i="5"/>
  <c r="F968" i="5"/>
  <c r="H967" i="5"/>
  <c r="F967" i="5"/>
  <c r="H966" i="5"/>
  <c r="F966" i="5"/>
  <c r="H965" i="5"/>
  <c r="F965" i="5"/>
  <c r="H964" i="5"/>
  <c r="F964" i="5"/>
  <c r="H963" i="5"/>
  <c r="F963" i="5"/>
  <c r="H962" i="5"/>
  <c r="F962" i="5"/>
  <c r="H961" i="5"/>
  <c r="F961" i="5"/>
  <c r="H960" i="5"/>
  <c r="F960" i="5"/>
  <c r="H959" i="5"/>
  <c r="F959" i="5"/>
  <c r="H958" i="5"/>
  <c r="F958" i="5"/>
  <c r="H957" i="5"/>
  <c r="F957" i="5"/>
  <c r="H956" i="5"/>
  <c r="F956" i="5"/>
  <c r="H955" i="5"/>
  <c r="F955" i="5"/>
  <c r="H954" i="5"/>
  <c r="F954" i="5"/>
  <c r="H953" i="5"/>
  <c r="F953" i="5"/>
  <c r="H952" i="5"/>
  <c r="F952" i="5"/>
  <c r="H951" i="5"/>
  <c r="F951" i="5"/>
  <c r="H950" i="5"/>
  <c r="F950" i="5"/>
  <c r="H949" i="5"/>
  <c r="F949" i="5"/>
  <c r="H948" i="5"/>
  <c r="F948" i="5"/>
  <c r="H947" i="5"/>
  <c r="F947" i="5"/>
  <c r="H946" i="5"/>
  <c r="F946" i="5"/>
  <c r="H945" i="5"/>
  <c r="F945" i="5"/>
  <c r="H944" i="5"/>
  <c r="F944" i="5"/>
  <c r="H943" i="5"/>
  <c r="F943" i="5"/>
  <c r="H942" i="5"/>
  <c r="F942" i="5"/>
  <c r="H941" i="5"/>
  <c r="F941" i="5"/>
  <c r="H940" i="5"/>
  <c r="F940" i="5"/>
  <c r="H939" i="5"/>
  <c r="F939" i="5"/>
  <c r="H938" i="5"/>
  <c r="F938" i="5"/>
  <c r="H937" i="5"/>
  <c r="F937" i="5"/>
  <c r="H936" i="5"/>
  <c r="F936" i="5"/>
  <c r="H935" i="5"/>
  <c r="F935" i="5"/>
  <c r="H934" i="5"/>
  <c r="F934" i="5"/>
  <c r="H933" i="5"/>
  <c r="F933" i="5"/>
  <c r="H932" i="5"/>
  <c r="F932" i="5"/>
  <c r="H931" i="5"/>
  <c r="F931" i="5"/>
  <c r="H930" i="5"/>
  <c r="F930" i="5"/>
  <c r="H929" i="5"/>
  <c r="F929" i="5"/>
  <c r="H928" i="5"/>
  <c r="F928" i="5"/>
  <c r="H927" i="5"/>
  <c r="F927" i="5"/>
  <c r="H926" i="5"/>
  <c r="F926" i="5"/>
  <c r="H925" i="5"/>
  <c r="F925" i="5"/>
  <c r="H924" i="5"/>
  <c r="F924" i="5"/>
  <c r="H923" i="5"/>
  <c r="F923" i="5"/>
  <c r="H922" i="5"/>
  <c r="F922" i="5"/>
  <c r="H921" i="5"/>
  <c r="F921" i="5"/>
  <c r="H920" i="5"/>
  <c r="F920" i="5"/>
  <c r="H919" i="5"/>
  <c r="F919" i="5"/>
  <c r="H918" i="5"/>
  <c r="F918" i="5"/>
  <c r="H917" i="5"/>
  <c r="F917" i="5"/>
  <c r="H916" i="5"/>
  <c r="F916" i="5"/>
  <c r="H915" i="5"/>
  <c r="F915" i="5"/>
  <c r="H914" i="5"/>
  <c r="F914" i="5"/>
  <c r="H913" i="5"/>
  <c r="F913" i="5"/>
  <c r="H912" i="5"/>
  <c r="F912" i="5"/>
  <c r="H911" i="5"/>
  <c r="F911" i="5"/>
  <c r="H910" i="5"/>
  <c r="F910" i="5"/>
  <c r="H909" i="5"/>
  <c r="F909" i="5"/>
  <c r="H908" i="5"/>
  <c r="F908" i="5"/>
  <c r="H907" i="5"/>
  <c r="F907" i="5"/>
  <c r="H906" i="5"/>
  <c r="F906" i="5"/>
  <c r="H905" i="5"/>
  <c r="F905" i="5"/>
  <c r="H904" i="5"/>
  <c r="F904" i="5"/>
  <c r="H903" i="5"/>
  <c r="F903" i="5"/>
  <c r="H902" i="5"/>
  <c r="F902" i="5"/>
  <c r="H901" i="5"/>
  <c r="F901" i="5"/>
  <c r="H900" i="5"/>
  <c r="F900" i="5"/>
  <c r="H899" i="5"/>
  <c r="F899" i="5"/>
  <c r="H898" i="5"/>
  <c r="F898" i="5"/>
  <c r="H897" i="5"/>
  <c r="F897" i="5"/>
  <c r="H896" i="5"/>
  <c r="F896" i="5"/>
  <c r="H895" i="5"/>
  <c r="F895" i="5"/>
  <c r="H894" i="5"/>
  <c r="F894" i="5"/>
  <c r="H893" i="5"/>
  <c r="F893" i="5"/>
  <c r="H892" i="5"/>
  <c r="F892" i="5"/>
  <c r="H891" i="5"/>
  <c r="F891" i="5"/>
  <c r="H890" i="5"/>
  <c r="F890" i="5"/>
  <c r="H889" i="5"/>
  <c r="F889" i="5"/>
  <c r="H888" i="5"/>
  <c r="F888" i="5"/>
  <c r="H887" i="5"/>
  <c r="F887" i="5"/>
  <c r="H886" i="5"/>
  <c r="F886" i="5"/>
  <c r="H885" i="5"/>
  <c r="F885" i="5"/>
  <c r="H884" i="5"/>
  <c r="F884" i="5"/>
  <c r="H883" i="5"/>
  <c r="F883" i="5"/>
  <c r="H882" i="5"/>
  <c r="F882" i="5"/>
  <c r="H881" i="5"/>
  <c r="F881" i="5"/>
  <c r="H880" i="5"/>
  <c r="F880" i="5"/>
  <c r="H879" i="5"/>
  <c r="F879" i="5"/>
  <c r="H878" i="5"/>
  <c r="F878" i="5"/>
  <c r="H877" i="5"/>
  <c r="F877" i="5"/>
  <c r="H876" i="5"/>
  <c r="F876" i="5"/>
  <c r="H875" i="5"/>
  <c r="F875" i="5"/>
  <c r="H874" i="5"/>
  <c r="F874" i="5"/>
  <c r="H873" i="5"/>
  <c r="F873" i="5"/>
  <c r="H872" i="5"/>
  <c r="F872" i="5"/>
  <c r="H871" i="5"/>
  <c r="F871" i="5"/>
  <c r="H870" i="5"/>
  <c r="F870" i="5"/>
  <c r="H869" i="5"/>
  <c r="F869" i="5"/>
  <c r="H868" i="5"/>
  <c r="F868" i="5"/>
  <c r="H867" i="5"/>
  <c r="F867" i="5"/>
  <c r="H866" i="5"/>
  <c r="F866" i="5"/>
  <c r="H865" i="5"/>
  <c r="F865" i="5"/>
  <c r="H864" i="5"/>
  <c r="F864" i="5"/>
  <c r="H863" i="5"/>
  <c r="F863" i="5"/>
  <c r="H862" i="5"/>
  <c r="F862" i="5"/>
  <c r="H861" i="5"/>
  <c r="F861" i="5"/>
  <c r="H860" i="5"/>
  <c r="F860" i="5"/>
  <c r="H859" i="5"/>
  <c r="F859" i="5"/>
  <c r="H858" i="5"/>
  <c r="F858" i="5"/>
  <c r="H857" i="5"/>
  <c r="F857" i="5"/>
  <c r="H856" i="5"/>
  <c r="F856" i="5"/>
  <c r="H855" i="5"/>
  <c r="F855" i="5"/>
  <c r="H854" i="5"/>
  <c r="F854" i="5"/>
  <c r="H853" i="5"/>
  <c r="F853" i="5"/>
  <c r="H852" i="5"/>
  <c r="F852" i="5"/>
  <c r="H851" i="5"/>
  <c r="F851" i="5"/>
  <c r="H850" i="5"/>
  <c r="F850" i="5"/>
  <c r="H849" i="5"/>
  <c r="F849" i="5"/>
  <c r="H848" i="5"/>
  <c r="F848" i="5"/>
  <c r="H847" i="5"/>
  <c r="F847" i="5"/>
  <c r="H846" i="5"/>
  <c r="F846" i="5"/>
  <c r="H845" i="5"/>
  <c r="F845" i="5"/>
  <c r="H844" i="5"/>
  <c r="F844" i="5"/>
  <c r="H843" i="5"/>
  <c r="F843" i="5"/>
  <c r="H842" i="5"/>
  <c r="F842" i="5"/>
  <c r="H841" i="5"/>
  <c r="F841" i="5"/>
  <c r="H840" i="5"/>
  <c r="F840" i="5"/>
  <c r="H839" i="5"/>
  <c r="F839" i="5"/>
  <c r="H838" i="5"/>
  <c r="F838" i="5"/>
  <c r="H837" i="5"/>
  <c r="F837" i="5"/>
  <c r="H836" i="5"/>
  <c r="F836" i="5"/>
  <c r="H835" i="5"/>
  <c r="F835" i="5"/>
  <c r="H834" i="5"/>
  <c r="F834" i="5"/>
  <c r="H833" i="5"/>
  <c r="F833" i="5"/>
  <c r="H832" i="5"/>
  <c r="F832" i="5"/>
  <c r="H831" i="5"/>
  <c r="F831" i="5"/>
  <c r="H830" i="5"/>
  <c r="F830" i="5"/>
  <c r="H829" i="5"/>
  <c r="F829" i="5"/>
  <c r="H828" i="5"/>
  <c r="F828" i="5"/>
  <c r="H827" i="5"/>
  <c r="F827" i="5"/>
  <c r="H826" i="5"/>
  <c r="F826" i="5"/>
  <c r="H825" i="5"/>
  <c r="F825" i="5"/>
  <c r="H824" i="5"/>
  <c r="F824" i="5"/>
  <c r="H823" i="5"/>
  <c r="F823" i="5"/>
  <c r="H822" i="5"/>
  <c r="F822" i="5"/>
  <c r="H821" i="5"/>
  <c r="F821" i="5"/>
  <c r="H820" i="5"/>
  <c r="F820" i="5"/>
  <c r="H819" i="5"/>
  <c r="F819" i="5"/>
  <c r="H818" i="5"/>
  <c r="F818" i="5"/>
  <c r="H817" i="5"/>
  <c r="F817" i="5"/>
  <c r="H816" i="5"/>
  <c r="F816" i="5"/>
  <c r="H815" i="5"/>
  <c r="F815" i="5"/>
  <c r="H814" i="5"/>
  <c r="F814" i="5"/>
  <c r="H813" i="5"/>
  <c r="F813" i="5"/>
  <c r="H812" i="5"/>
  <c r="F812" i="5"/>
  <c r="H811" i="5"/>
  <c r="F811" i="5"/>
  <c r="H810" i="5"/>
  <c r="F810" i="5"/>
  <c r="H809" i="5"/>
  <c r="F809" i="5"/>
  <c r="H808" i="5"/>
  <c r="F808" i="5"/>
  <c r="H807" i="5"/>
  <c r="F807" i="5"/>
  <c r="H806" i="5"/>
  <c r="F806" i="5"/>
  <c r="H805" i="5"/>
  <c r="F805" i="5"/>
  <c r="H804" i="5"/>
  <c r="F804" i="5"/>
  <c r="H803" i="5"/>
  <c r="F803" i="5"/>
  <c r="H802" i="5"/>
  <c r="F802" i="5"/>
  <c r="H801" i="5"/>
  <c r="F801" i="5"/>
  <c r="H800" i="5"/>
  <c r="F800" i="5"/>
  <c r="H799" i="5"/>
  <c r="F799" i="5"/>
  <c r="H798" i="5"/>
  <c r="F798" i="5"/>
  <c r="H797" i="5"/>
  <c r="F797" i="5"/>
  <c r="H796" i="5"/>
  <c r="F796" i="5"/>
  <c r="H795" i="5"/>
  <c r="F795" i="5"/>
  <c r="H794" i="5"/>
  <c r="F794" i="5"/>
  <c r="H793" i="5"/>
  <c r="F793" i="5"/>
  <c r="H792" i="5"/>
  <c r="F792" i="5"/>
  <c r="H791" i="5"/>
  <c r="F791" i="5"/>
  <c r="H790" i="5"/>
  <c r="F790" i="5"/>
  <c r="H789" i="5"/>
  <c r="F789" i="5"/>
  <c r="H788" i="5"/>
  <c r="F788" i="5"/>
  <c r="H787" i="5"/>
  <c r="F787" i="5"/>
  <c r="H786" i="5"/>
  <c r="F786" i="5"/>
  <c r="H785" i="5"/>
  <c r="F785" i="5"/>
  <c r="H784" i="5"/>
  <c r="F784" i="5"/>
  <c r="H783" i="5"/>
  <c r="F783" i="5"/>
  <c r="H782" i="5"/>
  <c r="F782" i="5"/>
  <c r="H781" i="5"/>
  <c r="F781" i="5"/>
  <c r="H780" i="5"/>
  <c r="F780" i="5"/>
  <c r="H779" i="5"/>
  <c r="F779" i="5"/>
  <c r="H778" i="5"/>
  <c r="F778" i="5"/>
  <c r="H777" i="5"/>
  <c r="F777" i="5"/>
  <c r="H776" i="5"/>
  <c r="F776" i="5"/>
  <c r="H775" i="5"/>
  <c r="F775" i="5"/>
  <c r="H774" i="5"/>
  <c r="F774" i="5"/>
  <c r="H773" i="5"/>
  <c r="F773" i="5"/>
  <c r="H772" i="5"/>
  <c r="F772" i="5"/>
  <c r="H771" i="5"/>
  <c r="F771" i="5"/>
  <c r="H770" i="5"/>
  <c r="F770" i="5"/>
  <c r="H769" i="5"/>
  <c r="F769" i="5"/>
  <c r="H768" i="5"/>
  <c r="F768" i="5"/>
  <c r="H767" i="5"/>
  <c r="F767" i="5"/>
  <c r="H766" i="5"/>
  <c r="F766" i="5"/>
  <c r="H765" i="5"/>
  <c r="F765" i="5"/>
  <c r="H764" i="5"/>
  <c r="F764" i="5"/>
  <c r="H763" i="5"/>
  <c r="F763" i="5"/>
  <c r="H762" i="5"/>
  <c r="F762" i="5"/>
  <c r="H761" i="5"/>
  <c r="F761" i="5"/>
  <c r="H760" i="5"/>
  <c r="F760" i="5"/>
  <c r="H759" i="5"/>
  <c r="F759" i="5"/>
  <c r="H758" i="5"/>
  <c r="F758" i="5"/>
  <c r="H757" i="5"/>
  <c r="F757" i="5"/>
  <c r="H756" i="5"/>
  <c r="F756" i="5"/>
  <c r="H755" i="5"/>
  <c r="F755" i="5"/>
  <c r="H754" i="5"/>
  <c r="F754" i="5"/>
  <c r="H753" i="5"/>
  <c r="F753" i="5"/>
  <c r="H752" i="5"/>
  <c r="F752" i="5"/>
  <c r="H751" i="5"/>
  <c r="F751" i="5"/>
  <c r="H750" i="5"/>
  <c r="F750" i="5"/>
  <c r="H749" i="5"/>
  <c r="F749" i="5"/>
  <c r="H748" i="5"/>
  <c r="F748" i="5"/>
  <c r="H747" i="5"/>
  <c r="F747" i="5"/>
  <c r="H746" i="5"/>
  <c r="F746" i="5"/>
  <c r="H745" i="5"/>
  <c r="F745" i="5"/>
  <c r="H744" i="5"/>
  <c r="F744" i="5"/>
  <c r="H743" i="5"/>
  <c r="F743" i="5"/>
  <c r="H742" i="5"/>
  <c r="F742" i="5"/>
  <c r="H741" i="5"/>
  <c r="F741" i="5"/>
  <c r="H740" i="5"/>
  <c r="F740" i="5"/>
  <c r="H739" i="5"/>
  <c r="F739" i="5"/>
  <c r="H738" i="5"/>
  <c r="F738" i="5"/>
  <c r="H737" i="5"/>
  <c r="F737" i="5"/>
  <c r="H736" i="5"/>
  <c r="F736" i="5"/>
  <c r="H735" i="5"/>
  <c r="F735" i="5"/>
  <c r="H734" i="5"/>
  <c r="F734" i="5"/>
  <c r="H733" i="5"/>
  <c r="F733" i="5"/>
  <c r="H732" i="5"/>
  <c r="F732" i="5"/>
  <c r="H731" i="5"/>
  <c r="F731" i="5"/>
  <c r="H730" i="5"/>
  <c r="F730" i="5"/>
  <c r="H729" i="5"/>
  <c r="F729" i="5"/>
  <c r="H728" i="5"/>
  <c r="F728" i="5"/>
  <c r="H727" i="5"/>
  <c r="F727" i="5"/>
  <c r="H726" i="5"/>
  <c r="F726" i="5"/>
  <c r="H725" i="5"/>
  <c r="F725" i="5"/>
  <c r="H724" i="5"/>
  <c r="F724" i="5"/>
  <c r="H723" i="5"/>
  <c r="F723" i="5"/>
  <c r="H722" i="5"/>
  <c r="F722" i="5"/>
  <c r="H721" i="5"/>
  <c r="F721" i="5"/>
  <c r="H720" i="5"/>
  <c r="F720" i="5"/>
  <c r="H719" i="5"/>
  <c r="F719" i="5"/>
  <c r="H718" i="5"/>
  <c r="F718" i="5"/>
  <c r="H717" i="5"/>
  <c r="F717" i="5"/>
  <c r="H716" i="5"/>
  <c r="F716" i="5"/>
  <c r="H715" i="5"/>
  <c r="F715" i="5"/>
  <c r="H714" i="5"/>
  <c r="F714" i="5"/>
  <c r="H713" i="5"/>
  <c r="F713" i="5"/>
  <c r="H712" i="5"/>
  <c r="F712" i="5"/>
  <c r="H711" i="5"/>
  <c r="F711" i="5"/>
  <c r="H710" i="5"/>
  <c r="F710" i="5"/>
  <c r="H709" i="5"/>
  <c r="F709" i="5"/>
  <c r="H708" i="5"/>
  <c r="F708" i="5"/>
  <c r="H707" i="5"/>
  <c r="F707" i="5"/>
  <c r="H706" i="5"/>
  <c r="F706" i="5"/>
  <c r="H705" i="5"/>
  <c r="F705" i="5"/>
  <c r="H704" i="5"/>
  <c r="F704" i="5"/>
  <c r="H703" i="5"/>
  <c r="F703" i="5"/>
  <c r="H702" i="5"/>
  <c r="F702" i="5"/>
  <c r="H701" i="5"/>
  <c r="F701" i="5"/>
  <c r="H700" i="5"/>
  <c r="F700" i="5"/>
  <c r="H699" i="5"/>
  <c r="F699" i="5"/>
  <c r="H698" i="5"/>
  <c r="F698" i="5"/>
  <c r="H697" i="5"/>
  <c r="F697" i="5"/>
  <c r="H696" i="5"/>
  <c r="F696" i="5"/>
  <c r="H695" i="5"/>
  <c r="F695" i="5"/>
  <c r="H694" i="5"/>
  <c r="F694" i="5"/>
  <c r="H693" i="5"/>
  <c r="F693" i="5"/>
  <c r="H692" i="5"/>
  <c r="F692" i="5"/>
  <c r="H691" i="5"/>
  <c r="F691" i="5"/>
  <c r="H690" i="5"/>
  <c r="F690" i="5"/>
  <c r="H689" i="5"/>
  <c r="F689" i="5"/>
  <c r="H688" i="5"/>
  <c r="F688" i="5"/>
  <c r="H687" i="5"/>
  <c r="F687" i="5"/>
  <c r="H686" i="5"/>
  <c r="F686" i="5"/>
  <c r="H685" i="5"/>
  <c r="F685" i="5"/>
  <c r="H684" i="5"/>
  <c r="F684" i="5"/>
  <c r="H683" i="5"/>
  <c r="F683" i="5"/>
  <c r="H682" i="5"/>
  <c r="F682" i="5"/>
  <c r="H681" i="5"/>
  <c r="F681" i="5"/>
  <c r="H680" i="5"/>
  <c r="F680" i="5"/>
  <c r="H679" i="5"/>
  <c r="F679" i="5"/>
  <c r="H678" i="5"/>
  <c r="F678" i="5"/>
  <c r="H677" i="5"/>
  <c r="F677" i="5"/>
  <c r="H676" i="5"/>
  <c r="F676" i="5"/>
  <c r="H675" i="5"/>
  <c r="F675" i="5"/>
  <c r="H674" i="5"/>
  <c r="F674" i="5"/>
  <c r="H673" i="5"/>
  <c r="F673" i="5"/>
  <c r="H672" i="5"/>
  <c r="F672" i="5"/>
  <c r="H671" i="5"/>
  <c r="F671" i="5"/>
  <c r="H670" i="5"/>
  <c r="F670" i="5"/>
  <c r="H669" i="5"/>
  <c r="F669" i="5"/>
  <c r="H668" i="5"/>
  <c r="F668" i="5"/>
  <c r="H667" i="5"/>
  <c r="F667" i="5"/>
  <c r="H666" i="5"/>
  <c r="F666" i="5"/>
  <c r="H665" i="5"/>
  <c r="F665" i="5"/>
  <c r="H664" i="5"/>
  <c r="F664" i="5"/>
  <c r="H663" i="5"/>
  <c r="F663" i="5"/>
  <c r="H662" i="5"/>
  <c r="F662" i="5"/>
  <c r="H661" i="5"/>
  <c r="F661" i="5"/>
  <c r="H660" i="5"/>
  <c r="F660" i="5"/>
  <c r="H659" i="5"/>
  <c r="F659" i="5"/>
  <c r="H658" i="5"/>
  <c r="F658" i="5"/>
  <c r="H657" i="5"/>
  <c r="F657" i="5"/>
  <c r="H656" i="5"/>
  <c r="F656" i="5"/>
  <c r="H655" i="5"/>
  <c r="F655" i="5"/>
  <c r="H654" i="5"/>
  <c r="F654" i="5"/>
  <c r="H653" i="5"/>
  <c r="F653" i="5"/>
  <c r="H652" i="5"/>
  <c r="F652" i="5"/>
  <c r="H651" i="5"/>
  <c r="F651" i="5"/>
  <c r="H650" i="5"/>
  <c r="F650" i="5"/>
  <c r="H649" i="5"/>
  <c r="F649" i="5"/>
  <c r="H648" i="5"/>
  <c r="F648" i="5"/>
  <c r="H647" i="5"/>
  <c r="F647" i="5"/>
  <c r="H646" i="5"/>
  <c r="F646" i="5"/>
  <c r="H645" i="5"/>
  <c r="F645" i="5"/>
  <c r="H644" i="5"/>
  <c r="F644" i="5"/>
  <c r="H643" i="5"/>
  <c r="F643" i="5"/>
  <c r="H642" i="5"/>
  <c r="F642" i="5"/>
  <c r="H641" i="5"/>
  <c r="F641" i="5"/>
  <c r="H640" i="5"/>
  <c r="F640" i="5"/>
  <c r="H639" i="5"/>
  <c r="F639" i="5"/>
  <c r="H638" i="5"/>
  <c r="F638" i="5"/>
  <c r="H637" i="5"/>
  <c r="F637" i="5"/>
  <c r="H636" i="5"/>
  <c r="F636" i="5"/>
  <c r="H635" i="5"/>
  <c r="F635" i="5"/>
  <c r="H634" i="5"/>
  <c r="F634" i="5"/>
  <c r="H633" i="5"/>
  <c r="F633" i="5"/>
  <c r="H632" i="5"/>
  <c r="F632" i="5"/>
  <c r="H631" i="5"/>
  <c r="F631" i="5"/>
  <c r="H630" i="5"/>
  <c r="F630" i="5"/>
  <c r="H629" i="5"/>
  <c r="F629" i="5"/>
  <c r="H628" i="5"/>
  <c r="F628" i="5"/>
  <c r="H627" i="5"/>
  <c r="F627" i="5"/>
  <c r="H626" i="5"/>
  <c r="F626" i="5"/>
  <c r="H625" i="5"/>
  <c r="F625" i="5"/>
  <c r="H624" i="5"/>
  <c r="F624" i="5"/>
  <c r="H623" i="5"/>
  <c r="F623" i="5"/>
  <c r="H622" i="5"/>
  <c r="F622" i="5"/>
  <c r="H621" i="5"/>
  <c r="F621" i="5"/>
  <c r="H620" i="5"/>
  <c r="F620" i="5"/>
  <c r="H619" i="5"/>
  <c r="F619" i="5"/>
  <c r="H618" i="5"/>
  <c r="F618" i="5"/>
  <c r="H617" i="5"/>
  <c r="F617" i="5"/>
  <c r="H616" i="5"/>
  <c r="F616" i="5"/>
  <c r="H615" i="5"/>
  <c r="F615" i="5"/>
  <c r="H614" i="5"/>
  <c r="F614" i="5"/>
  <c r="H613" i="5"/>
  <c r="F613" i="5"/>
  <c r="H612" i="5"/>
  <c r="F612" i="5"/>
  <c r="H611" i="5"/>
  <c r="F611" i="5"/>
  <c r="H610" i="5"/>
  <c r="F610" i="5"/>
  <c r="H609" i="5"/>
  <c r="F609" i="5"/>
  <c r="H608" i="5"/>
  <c r="F608" i="5"/>
  <c r="H607" i="5"/>
  <c r="F607" i="5"/>
  <c r="H606" i="5"/>
  <c r="F606" i="5"/>
  <c r="H605" i="5"/>
  <c r="F605" i="5"/>
  <c r="H604" i="5"/>
  <c r="F604" i="5"/>
  <c r="H603" i="5"/>
  <c r="F603" i="5"/>
  <c r="H602" i="5"/>
  <c r="F602" i="5"/>
  <c r="H601" i="5"/>
  <c r="F601" i="5"/>
  <c r="H600" i="5"/>
  <c r="F600" i="5"/>
  <c r="H599" i="5"/>
  <c r="F599" i="5"/>
  <c r="H598" i="5"/>
  <c r="F598" i="5"/>
  <c r="H597" i="5"/>
  <c r="F597" i="5"/>
  <c r="H596" i="5"/>
  <c r="F596" i="5"/>
  <c r="H595" i="5"/>
  <c r="F595" i="5"/>
  <c r="H594" i="5"/>
  <c r="F594" i="5"/>
  <c r="H593" i="5"/>
  <c r="F593" i="5"/>
  <c r="H592" i="5"/>
  <c r="F592" i="5"/>
  <c r="H591" i="5"/>
  <c r="F591" i="5"/>
  <c r="H590" i="5"/>
  <c r="F590" i="5"/>
  <c r="H589" i="5"/>
  <c r="F589" i="5"/>
  <c r="H588" i="5"/>
  <c r="F588" i="5"/>
  <c r="H587" i="5"/>
  <c r="F587" i="5"/>
  <c r="H586" i="5"/>
  <c r="F586" i="5"/>
  <c r="H585" i="5"/>
  <c r="F585" i="5"/>
  <c r="H584" i="5"/>
  <c r="F584" i="5"/>
  <c r="H583" i="5"/>
  <c r="F583" i="5"/>
  <c r="H582" i="5"/>
  <c r="F582" i="5"/>
  <c r="H581" i="5"/>
  <c r="F581" i="5"/>
  <c r="H580" i="5"/>
  <c r="F580" i="5"/>
  <c r="H579" i="5"/>
  <c r="F579" i="5"/>
  <c r="H578" i="5"/>
  <c r="F578" i="5"/>
  <c r="H577" i="5"/>
  <c r="F577" i="5"/>
  <c r="H576" i="5"/>
  <c r="F576" i="5"/>
  <c r="H575" i="5"/>
  <c r="F575" i="5"/>
  <c r="H574" i="5"/>
  <c r="F574" i="5"/>
  <c r="H573" i="5"/>
  <c r="F573" i="5"/>
  <c r="H572" i="5"/>
  <c r="F572" i="5"/>
  <c r="H571" i="5"/>
  <c r="F571" i="5"/>
  <c r="H570" i="5"/>
  <c r="F570" i="5"/>
  <c r="H569" i="5"/>
  <c r="F569" i="5"/>
  <c r="H568" i="5"/>
  <c r="F568" i="5"/>
  <c r="H567" i="5"/>
  <c r="F567" i="5"/>
  <c r="H566" i="5"/>
  <c r="F566" i="5"/>
  <c r="H565" i="5"/>
  <c r="F565" i="5"/>
  <c r="H564" i="5"/>
  <c r="F564" i="5"/>
  <c r="H563" i="5"/>
  <c r="F563" i="5"/>
  <c r="H562" i="5"/>
  <c r="F562" i="5"/>
  <c r="H561" i="5"/>
  <c r="F561" i="5"/>
  <c r="H560" i="5"/>
  <c r="F560" i="5"/>
  <c r="H559" i="5"/>
  <c r="F559" i="5"/>
  <c r="H558" i="5"/>
  <c r="F558" i="5"/>
  <c r="H557" i="5"/>
  <c r="F557" i="5"/>
  <c r="H556" i="5"/>
  <c r="F556" i="5"/>
  <c r="H555" i="5"/>
  <c r="F555" i="5"/>
  <c r="H554" i="5"/>
  <c r="F554" i="5"/>
  <c r="H553" i="5"/>
  <c r="F553" i="5"/>
  <c r="H552" i="5"/>
  <c r="F552" i="5"/>
  <c r="H551" i="5"/>
  <c r="F551" i="5"/>
  <c r="H550" i="5"/>
  <c r="F550" i="5"/>
  <c r="H549" i="5"/>
  <c r="F549" i="5"/>
  <c r="H548" i="5"/>
  <c r="F548" i="5"/>
  <c r="H547" i="5"/>
  <c r="F547" i="5"/>
  <c r="H546" i="5"/>
  <c r="F546" i="5"/>
  <c r="H545" i="5"/>
  <c r="F545" i="5"/>
  <c r="H544" i="5"/>
  <c r="F544" i="5"/>
  <c r="H543" i="5"/>
  <c r="F543" i="5"/>
  <c r="H542" i="5"/>
  <c r="F542" i="5"/>
  <c r="H541" i="5"/>
  <c r="F541" i="5"/>
  <c r="H540" i="5"/>
  <c r="F540" i="5"/>
  <c r="H539" i="5"/>
  <c r="F539" i="5"/>
  <c r="H538" i="5"/>
  <c r="F538" i="5"/>
  <c r="H537" i="5"/>
  <c r="F537" i="5"/>
  <c r="H536" i="5"/>
  <c r="F536" i="5"/>
  <c r="H535" i="5"/>
  <c r="F535" i="5"/>
  <c r="H534" i="5"/>
  <c r="F534" i="5"/>
  <c r="H533" i="5"/>
  <c r="F533" i="5"/>
  <c r="H532" i="5"/>
  <c r="F532" i="5"/>
  <c r="H531" i="5"/>
  <c r="F531" i="5"/>
  <c r="H530" i="5"/>
  <c r="F530" i="5"/>
  <c r="H529" i="5"/>
  <c r="F529" i="5"/>
  <c r="H528" i="5"/>
  <c r="F528" i="5"/>
  <c r="H527" i="5"/>
  <c r="F527" i="5"/>
  <c r="H526" i="5"/>
  <c r="F526" i="5"/>
  <c r="H525" i="5"/>
  <c r="F525" i="5"/>
  <c r="H524" i="5"/>
  <c r="F524" i="5"/>
  <c r="H523" i="5"/>
  <c r="F523" i="5"/>
  <c r="H522" i="5"/>
  <c r="F522" i="5"/>
  <c r="H521" i="5"/>
  <c r="F521" i="5"/>
  <c r="H520" i="5"/>
  <c r="F520" i="5"/>
  <c r="H519" i="5"/>
  <c r="F519" i="5"/>
  <c r="H518" i="5"/>
  <c r="F518" i="5"/>
  <c r="H517" i="5"/>
  <c r="F517" i="5"/>
  <c r="H516" i="5"/>
  <c r="F516" i="5"/>
  <c r="H515" i="5"/>
  <c r="F515" i="5"/>
  <c r="H514" i="5"/>
  <c r="F514" i="5"/>
  <c r="H513" i="5"/>
  <c r="F513" i="5"/>
  <c r="H512" i="5"/>
  <c r="F512" i="5"/>
  <c r="H511" i="5"/>
  <c r="F511" i="5"/>
  <c r="H510" i="5"/>
  <c r="F510" i="5"/>
  <c r="H509" i="5"/>
  <c r="F509" i="5"/>
  <c r="H508" i="5"/>
  <c r="F508" i="5"/>
  <c r="H507" i="5"/>
  <c r="F507" i="5"/>
  <c r="H506" i="5"/>
  <c r="F506" i="5"/>
  <c r="H505" i="5"/>
  <c r="F505" i="5"/>
  <c r="H504" i="5"/>
  <c r="F504" i="5"/>
  <c r="H503" i="5"/>
  <c r="F503" i="5"/>
  <c r="H502" i="5"/>
  <c r="F502" i="5"/>
  <c r="H501" i="5"/>
  <c r="F501" i="5"/>
  <c r="H500" i="5"/>
  <c r="F500" i="5"/>
  <c r="H499" i="5"/>
  <c r="F499" i="5"/>
  <c r="H498" i="5"/>
  <c r="F498" i="5"/>
  <c r="H497" i="5"/>
  <c r="F497" i="5"/>
  <c r="H496" i="5"/>
  <c r="F496" i="5"/>
  <c r="H495" i="5"/>
  <c r="F495" i="5"/>
  <c r="H494" i="5"/>
  <c r="F494" i="5"/>
  <c r="H493" i="5"/>
  <c r="F493" i="5"/>
  <c r="H492" i="5"/>
  <c r="F492" i="5"/>
  <c r="H491" i="5"/>
  <c r="F491" i="5"/>
  <c r="H490" i="5"/>
  <c r="F490" i="5"/>
  <c r="H489" i="5"/>
  <c r="F489" i="5"/>
  <c r="H488" i="5"/>
  <c r="F488" i="5"/>
  <c r="H487" i="5"/>
  <c r="F487" i="5"/>
  <c r="H486" i="5"/>
  <c r="F486" i="5"/>
  <c r="H485" i="5"/>
  <c r="F485" i="5"/>
  <c r="H484" i="5"/>
  <c r="F484" i="5"/>
  <c r="H483" i="5"/>
  <c r="F483" i="5"/>
  <c r="H482" i="5"/>
  <c r="F482" i="5"/>
  <c r="H481" i="5"/>
  <c r="F481" i="5"/>
  <c r="H480" i="5"/>
  <c r="F480" i="5"/>
  <c r="H479" i="5"/>
  <c r="F479" i="5"/>
  <c r="H478" i="5"/>
  <c r="F478" i="5"/>
  <c r="H477" i="5"/>
  <c r="F477" i="5"/>
  <c r="H476" i="5"/>
  <c r="F476" i="5"/>
  <c r="H475" i="5"/>
  <c r="F475" i="5"/>
  <c r="H474" i="5"/>
  <c r="F474" i="5"/>
  <c r="H473" i="5"/>
  <c r="F473" i="5"/>
  <c r="H472" i="5"/>
  <c r="F472" i="5"/>
  <c r="H471" i="5"/>
  <c r="F471" i="5"/>
  <c r="H470" i="5"/>
  <c r="F470" i="5"/>
  <c r="H469" i="5"/>
  <c r="F469" i="5"/>
  <c r="H468" i="5"/>
  <c r="F468" i="5"/>
  <c r="H467" i="5"/>
  <c r="F467" i="5"/>
  <c r="H466" i="5"/>
  <c r="F466" i="5"/>
  <c r="H465" i="5"/>
  <c r="F465" i="5"/>
  <c r="H464" i="5"/>
  <c r="F464" i="5"/>
  <c r="H463" i="5"/>
  <c r="F463" i="5"/>
  <c r="H462" i="5"/>
  <c r="F462" i="5"/>
  <c r="H461" i="5"/>
  <c r="F461" i="5"/>
  <c r="H460" i="5"/>
  <c r="F460" i="5"/>
  <c r="H459" i="5"/>
  <c r="F459" i="5"/>
  <c r="H458" i="5"/>
  <c r="F458" i="5"/>
  <c r="H457" i="5"/>
  <c r="F457" i="5"/>
  <c r="H456" i="5"/>
  <c r="F456" i="5"/>
  <c r="H455" i="5"/>
  <c r="F455" i="5"/>
  <c r="H454" i="5"/>
  <c r="F454" i="5"/>
  <c r="H453" i="5"/>
  <c r="F453" i="5"/>
  <c r="H452" i="5"/>
  <c r="F452" i="5"/>
  <c r="H451" i="5"/>
  <c r="F451" i="5"/>
  <c r="H450" i="5"/>
  <c r="F450" i="5"/>
  <c r="H449" i="5"/>
  <c r="F449" i="5"/>
  <c r="H448" i="5"/>
  <c r="F448" i="5"/>
  <c r="H447" i="5"/>
  <c r="F447" i="5"/>
  <c r="H446" i="5"/>
  <c r="F446" i="5"/>
  <c r="H445" i="5"/>
  <c r="F445" i="5"/>
  <c r="H444" i="5"/>
  <c r="F444" i="5"/>
  <c r="H443" i="5"/>
  <c r="F443" i="5"/>
  <c r="H442" i="5"/>
  <c r="F442" i="5"/>
  <c r="H441" i="5"/>
  <c r="F441" i="5"/>
  <c r="H440" i="5"/>
  <c r="F440" i="5"/>
  <c r="H439" i="5"/>
  <c r="F439" i="5"/>
  <c r="H438" i="5"/>
  <c r="F438" i="5"/>
  <c r="H437" i="5"/>
  <c r="F437" i="5"/>
  <c r="H436" i="5"/>
  <c r="F436" i="5"/>
  <c r="H435" i="5"/>
  <c r="F435" i="5"/>
  <c r="H434" i="5"/>
  <c r="F434" i="5"/>
  <c r="H433" i="5"/>
  <c r="F433" i="5"/>
  <c r="H432" i="5"/>
  <c r="F432" i="5"/>
  <c r="H431" i="5"/>
  <c r="F431" i="5"/>
  <c r="H430" i="5"/>
  <c r="F430" i="5"/>
  <c r="H429" i="5"/>
  <c r="F429" i="5"/>
  <c r="H428" i="5"/>
  <c r="F428" i="5"/>
  <c r="H427" i="5"/>
  <c r="F427" i="5"/>
  <c r="H426" i="5"/>
  <c r="F426" i="5"/>
  <c r="H425" i="5"/>
  <c r="F425" i="5"/>
  <c r="H424" i="5"/>
  <c r="F424" i="5"/>
  <c r="H423" i="5"/>
  <c r="F423" i="5"/>
  <c r="H422" i="5"/>
  <c r="F422" i="5"/>
  <c r="H421" i="5"/>
  <c r="F421" i="5"/>
  <c r="H420" i="5"/>
  <c r="F420" i="5"/>
  <c r="H419" i="5"/>
  <c r="F419" i="5"/>
  <c r="H418" i="5"/>
  <c r="F418" i="5"/>
  <c r="H417" i="5"/>
  <c r="F417" i="5"/>
  <c r="H416" i="5"/>
  <c r="F416" i="5"/>
  <c r="H415" i="5"/>
  <c r="F415" i="5"/>
  <c r="H414" i="5"/>
  <c r="F414" i="5"/>
  <c r="H413" i="5"/>
  <c r="F413" i="5"/>
  <c r="H412" i="5"/>
  <c r="F412" i="5"/>
  <c r="H411" i="5"/>
  <c r="F411" i="5"/>
  <c r="H410" i="5"/>
  <c r="F410" i="5"/>
  <c r="H409" i="5"/>
  <c r="F409" i="5"/>
  <c r="H408" i="5"/>
  <c r="F408" i="5"/>
  <c r="H407" i="5"/>
  <c r="F407" i="5"/>
  <c r="H406" i="5"/>
  <c r="F406" i="5"/>
  <c r="H405" i="5"/>
  <c r="F405" i="5"/>
  <c r="H404" i="5"/>
  <c r="F404" i="5"/>
  <c r="H403" i="5"/>
  <c r="F403" i="5"/>
  <c r="H402" i="5"/>
  <c r="F402" i="5"/>
  <c r="H401" i="5"/>
  <c r="F401" i="5"/>
  <c r="H400" i="5"/>
  <c r="F400" i="5"/>
  <c r="H399" i="5"/>
  <c r="F399" i="5"/>
  <c r="H398" i="5"/>
  <c r="F398" i="5"/>
  <c r="H397" i="5"/>
  <c r="F397" i="5"/>
  <c r="H396" i="5"/>
  <c r="F396" i="5"/>
  <c r="H395" i="5"/>
  <c r="F395" i="5"/>
  <c r="H394" i="5"/>
  <c r="F394" i="5"/>
  <c r="H393" i="5"/>
  <c r="F393" i="5"/>
  <c r="H392" i="5"/>
  <c r="F392" i="5"/>
  <c r="H391" i="5"/>
  <c r="F391" i="5"/>
  <c r="H390" i="5"/>
  <c r="F390" i="5"/>
  <c r="H389" i="5"/>
  <c r="F389" i="5"/>
  <c r="H388" i="5"/>
  <c r="F388" i="5"/>
  <c r="H387" i="5"/>
  <c r="F387" i="5"/>
  <c r="H386" i="5"/>
  <c r="F386" i="5"/>
  <c r="H385" i="5"/>
  <c r="F385" i="5"/>
  <c r="H384" i="5"/>
  <c r="F384" i="5"/>
  <c r="H383" i="5"/>
  <c r="F383" i="5"/>
  <c r="H382" i="5"/>
  <c r="F382" i="5"/>
  <c r="H381" i="5"/>
  <c r="F381" i="5"/>
  <c r="H380" i="5"/>
  <c r="F380" i="5"/>
  <c r="H379" i="5"/>
  <c r="F379" i="5"/>
  <c r="H378" i="5"/>
  <c r="F378" i="5"/>
  <c r="H377" i="5"/>
  <c r="F377" i="5"/>
  <c r="H376" i="5"/>
  <c r="F376" i="5"/>
  <c r="H375" i="5"/>
  <c r="F375" i="5"/>
  <c r="H374" i="5"/>
  <c r="F374" i="5"/>
  <c r="H373" i="5"/>
  <c r="F373" i="5"/>
  <c r="H372" i="5"/>
  <c r="F372" i="5"/>
  <c r="H371" i="5"/>
  <c r="F371" i="5"/>
  <c r="H370" i="5"/>
  <c r="F370" i="5"/>
  <c r="H369" i="5"/>
  <c r="F369" i="5"/>
  <c r="H368" i="5"/>
  <c r="F368" i="5"/>
  <c r="H367" i="5"/>
  <c r="F367" i="5"/>
  <c r="H366" i="5"/>
  <c r="F366" i="5"/>
  <c r="H365" i="5"/>
  <c r="F365" i="5"/>
  <c r="H364" i="5"/>
  <c r="F364" i="5"/>
  <c r="H363" i="5"/>
  <c r="F363" i="5"/>
  <c r="H362" i="5"/>
  <c r="F362" i="5"/>
  <c r="H361" i="5"/>
  <c r="F361" i="5"/>
  <c r="H360" i="5"/>
  <c r="F360" i="5"/>
  <c r="H359" i="5"/>
  <c r="F359" i="5"/>
  <c r="H358" i="5"/>
  <c r="F358" i="5"/>
  <c r="H357" i="5"/>
  <c r="F357" i="5"/>
  <c r="H356" i="5"/>
  <c r="F356" i="5"/>
  <c r="H355" i="5"/>
  <c r="F355" i="5"/>
  <c r="H354" i="5"/>
  <c r="F354" i="5"/>
  <c r="H353" i="5"/>
  <c r="F353" i="5"/>
  <c r="H352" i="5"/>
  <c r="F352" i="5"/>
  <c r="H351" i="5"/>
  <c r="F351" i="5"/>
  <c r="H350" i="5"/>
  <c r="F350" i="5"/>
  <c r="H349" i="5"/>
  <c r="F349" i="5"/>
  <c r="H348" i="5"/>
  <c r="F348" i="5"/>
  <c r="H347" i="5"/>
  <c r="F347" i="5"/>
  <c r="H346" i="5"/>
  <c r="F346" i="5"/>
  <c r="H345" i="5"/>
  <c r="F345" i="5"/>
  <c r="H344" i="5"/>
  <c r="F344" i="5"/>
  <c r="H343" i="5"/>
  <c r="F343" i="5"/>
  <c r="H342" i="5"/>
  <c r="F342" i="5"/>
  <c r="H341" i="5"/>
  <c r="F341" i="5"/>
  <c r="H340" i="5"/>
  <c r="F340" i="5"/>
  <c r="H339" i="5"/>
  <c r="F339" i="5"/>
  <c r="H338" i="5"/>
  <c r="F338" i="5"/>
  <c r="H337" i="5"/>
  <c r="F337" i="5"/>
  <c r="H336" i="5"/>
  <c r="F336" i="5"/>
  <c r="H335" i="5"/>
  <c r="F335" i="5"/>
  <c r="H334" i="5"/>
  <c r="F334" i="5"/>
  <c r="H333" i="5"/>
  <c r="F333" i="5"/>
  <c r="H332" i="5"/>
  <c r="F332" i="5"/>
  <c r="H331" i="5"/>
  <c r="F331" i="5"/>
  <c r="H330" i="5"/>
  <c r="F330" i="5"/>
  <c r="H329" i="5"/>
  <c r="F329" i="5"/>
  <c r="H328" i="5"/>
  <c r="F328" i="5"/>
  <c r="H327" i="5"/>
  <c r="F327" i="5"/>
  <c r="H326" i="5"/>
  <c r="F326" i="5"/>
  <c r="H325" i="5"/>
  <c r="F325" i="5"/>
  <c r="H324" i="5"/>
  <c r="F324" i="5"/>
  <c r="H323" i="5"/>
  <c r="F323" i="5"/>
  <c r="H322" i="5"/>
  <c r="F322" i="5"/>
  <c r="H321" i="5"/>
  <c r="F321" i="5"/>
  <c r="H320" i="5"/>
  <c r="F320" i="5"/>
  <c r="H319" i="5"/>
  <c r="F319" i="5"/>
  <c r="H318" i="5"/>
  <c r="F318" i="5"/>
  <c r="H317" i="5"/>
  <c r="F317" i="5"/>
  <c r="H316" i="5"/>
  <c r="F316" i="5"/>
  <c r="H315" i="5"/>
  <c r="F315" i="5"/>
  <c r="H314" i="5"/>
  <c r="F314" i="5"/>
  <c r="H313" i="5"/>
  <c r="F313" i="5"/>
  <c r="H312" i="5"/>
  <c r="F312" i="5"/>
  <c r="H311" i="5"/>
  <c r="F311" i="5"/>
  <c r="H310" i="5"/>
  <c r="F310" i="5"/>
  <c r="H309" i="5"/>
  <c r="F309" i="5"/>
  <c r="H308" i="5"/>
  <c r="F308" i="5"/>
  <c r="H307" i="5"/>
  <c r="F307" i="5"/>
  <c r="H306" i="5"/>
  <c r="F306" i="5"/>
  <c r="H305" i="5"/>
  <c r="F305" i="5"/>
  <c r="H304" i="5"/>
  <c r="F304" i="5"/>
  <c r="H303" i="5"/>
  <c r="F303" i="5"/>
  <c r="H302" i="5"/>
  <c r="F302" i="5"/>
  <c r="H301" i="5"/>
  <c r="F301" i="5"/>
  <c r="H300" i="5"/>
  <c r="F300" i="5"/>
  <c r="H299" i="5"/>
  <c r="F299" i="5"/>
  <c r="H298" i="5"/>
  <c r="F298" i="5"/>
  <c r="H297" i="5"/>
  <c r="F297" i="5"/>
  <c r="H296" i="5"/>
  <c r="F296" i="5"/>
  <c r="H295" i="5"/>
  <c r="F295" i="5"/>
  <c r="H294" i="5"/>
  <c r="F294" i="5"/>
  <c r="H293" i="5"/>
  <c r="F293" i="5"/>
  <c r="H292" i="5"/>
  <c r="F292" i="5"/>
  <c r="H291" i="5"/>
  <c r="F291" i="5"/>
  <c r="H290" i="5"/>
  <c r="F290" i="5"/>
  <c r="H289" i="5"/>
  <c r="F289" i="5"/>
  <c r="H288" i="5"/>
  <c r="F288" i="5"/>
  <c r="H287" i="5"/>
  <c r="F287" i="5"/>
  <c r="H286" i="5"/>
  <c r="F286" i="5"/>
  <c r="H285" i="5"/>
  <c r="F285" i="5"/>
  <c r="H284" i="5"/>
  <c r="F284" i="5"/>
  <c r="H283" i="5"/>
  <c r="F283" i="5"/>
  <c r="H282" i="5"/>
  <c r="F282" i="5"/>
  <c r="H281" i="5"/>
  <c r="F281" i="5"/>
  <c r="H280" i="5"/>
  <c r="F280" i="5"/>
  <c r="H279" i="5"/>
  <c r="F279" i="5"/>
  <c r="H278" i="5"/>
  <c r="F278" i="5"/>
  <c r="H277" i="5"/>
  <c r="F277" i="5"/>
  <c r="H276" i="5"/>
  <c r="F276" i="5"/>
  <c r="H275" i="5"/>
  <c r="F275" i="5"/>
  <c r="H274" i="5"/>
  <c r="F274" i="5"/>
  <c r="H273" i="5"/>
  <c r="F273" i="5"/>
  <c r="H272" i="5"/>
  <c r="F272" i="5"/>
  <c r="H271" i="5"/>
  <c r="F271" i="5"/>
  <c r="H270" i="5"/>
  <c r="F270" i="5"/>
  <c r="H269" i="5"/>
  <c r="F269" i="5"/>
  <c r="H268" i="5"/>
  <c r="F268" i="5"/>
  <c r="H267" i="5"/>
  <c r="F267" i="5"/>
  <c r="H266" i="5"/>
  <c r="F266" i="5"/>
  <c r="H265" i="5"/>
  <c r="F265" i="5"/>
  <c r="H264" i="5"/>
  <c r="F264" i="5"/>
  <c r="H263" i="5"/>
  <c r="F263" i="5"/>
  <c r="H262" i="5"/>
  <c r="F262" i="5"/>
  <c r="H261" i="5"/>
  <c r="F261" i="5"/>
  <c r="H260" i="5"/>
  <c r="F260" i="5"/>
  <c r="H259" i="5"/>
  <c r="F259" i="5"/>
  <c r="H258" i="5"/>
  <c r="F258" i="5"/>
  <c r="H257" i="5"/>
  <c r="F257" i="5"/>
  <c r="H256" i="5"/>
  <c r="F256" i="5"/>
  <c r="H255" i="5"/>
  <c r="F255" i="5"/>
  <c r="H254" i="5"/>
  <c r="F254" i="5"/>
  <c r="H253" i="5"/>
  <c r="F253" i="5"/>
  <c r="H252" i="5"/>
  <c r="F252" i="5"/>
  <c r="H251" i="5"/>
  <c r="F251" i="5"/>
  <c r="H250" i="5"/>
  <c r="F250" i="5"/>
  <c r="H249" i="5"/>
  <c r="F249" i="5"/>
  <c r="H248" i="5"/>
  <c r="F248" i="5"/>
  <c r="H247" i="5"/>
  <c r="F247" i="5"/>
  <c r="H246" i="5"/>
  <c r="F246" i="5"/>
  <c r="H245" i="5"/>
  <c r="F245" i="5"/>
  <c r="H244" i="5"/>
  <c r="F244" i="5"/>
  <c r="H243" i="5"/>
  <c r="F243" i="5"/>
  <c r="H242" i="5"/>
  <c r="F242" i="5"/>
  <c r="H241" i="5"/>
  <c r="F241" i="5"/>
  <c r="H240" i="5"/>
  <c r="F240" i="5"/>
  <c r="H239" i="5"/>
  <c r="F239" i="5"/>
  <c r="H238" i="5"/>
  <c r="F238" i="5"/>
  <c r="H237" i="5"/>
  <c r="F237" i="5"/>
  <c r="H236" i="5"/>
  <c r="F236" i="5"/>
  <c r="H235" i="5"/>
  <c r="F235" i="5"/>
  <c r="H234" i="5"/>
  <c r="F234" i="5"/>
  <c r="H233" i="5"/>
  <c r="F233" i="5"/>
  <c r="H232" i="5"/>
  <c r="F232" i="5"/>
  <c r="H231" i="5"/>
  <c r="F231" i="5"/>
  <c r="H230" i="5"/>
  <c r="F230" i="5"/>
  <c r="H229" i="5"/>
  <c r="F229" i="5"/>
  <c r="H228" i="5"/>
  <c r="F228" i="5"/>
  <c r="H227" i="5"/>
  <c r="F227" i="5"/>
  <c r="H226" i="5"/>
  <c r="F226" i="5"/>
  <c r="H225" i="5"/>
  <c r="F225" i="5"/>
  <c r="H224" i="5"/>
  <c r="F224" i="5"/>
  <c r="H223" i="5"/>
  <c r="F223" i="5"/>
  <c r="H222" i="5"/>
  <c r="F222" i="5"/>
  <c r="H221" i="5"/>
  <c r="F221" i="5"/>
  <c r="H220" i="5"/>
  <c r="F220" i="5"/>
  <c r="H219" i="5"/>
  <c r="F219" i="5"/>
  <c r="H218" i="5"/>
  <c r="F218" i="5"/>
  <c r="H217" i="5"/>
  <c r="F217" i="5"/>
  <c r="H216" i="5"/>
  <c r="F216" i="5"/>
  <c r="H215" i="5"/>
  <c r="F215" i="5"/>
  <c r="H214" i="5"/>
  <c r="F214" i="5"/>
  <c r="H213" i="5"/>
  <c r="F213" i="5"/>
  <c r="H212" i="5"/>
  <c r="F212" i="5"/>
  <c r="H211" i="5"/>
  <c r="F211" i="5"/>
  <c r="H210" i="5"/>
  <c r="F210" i="5"/>
  <c r="H209" i="5"/>
  <c r="F209" i="5"/>
  <c r="H208" i="5"/>
  <c r="F208" i="5"/>
  <c r="H207" i="5"/>
  <c r="F207" i="5"/>
  <c r="H206" i="5"/>
  <c r="F206" i="5"/>
  <c r="H205" i="5"/>
  <c r="F205" i="5"/>
  <c r="H204" i="5"/>
  <c r="F204" i="5"/>
  <c r="H203" i="5"/>
  <c r="F203" i="5"/>
  <c r="H202" i="5"/>
  <c r="F202" i="5"/>
  <c r="H201" i="5"/>
  <c r="F201" i="5"/>
  <c r="H200" i="5"/>
  <c r="F200" i="5"/>
  <c r="H199" i="5"/>
  <c r="F199" i="5"/>
  <c r="H198" i="5"/>
  <c r="F198" i="5"/>
  <c r="H197" i="5"/>
  <c r="F197" i="5"/>
  <c r="H196" i="5"/>
  <c r="F196" i="5"/>
  <c r="H195" i="5"/>
  <c r="F195" i="5"/>
  <c r="H194" i="5"/>
  <c r="F194" i="5"/>
  <c r="H193" i="5"/>
  <c r="F193" i="5"/>
  <c r="H192" i="5"/>
  <c r="F192" i="5"/>
  <c r="H191" i="5"/>
  <c r="F191" i="5"/>
  <c r="H190" i="5"/>
  <c r="F190" i="5"/>
  <c r="H189" i="5"/>
  <c r="F189" i="5"/>
  <c r="H188" i="5"/>
  <c r="F188" i="5"/>
  <c r="H187" i="5"/>
  <c r="F187" i="5"/>
  <c r="H186" i="5"/>
  <c r="F186" i="5"/>
  <c r="H185" i="5"/>
  <c r="F185" i="5"/>
  <c r="H184" i="5"/>
  <c r="F184" i="5"/>
  <c r="H183" i="5"/>
  <c r="F183" i="5"/>
  <c r="H182" i="5"/>
  <c r="F182" i="5"/>
  <c r="H181" i="5"/>
  <c r="F181" i="5"/>
  <c r="H180" i="5"/>
  <c r="F180" i="5"/>
  <c r="H179" i="5"/>
  <c r="F179" i="5"/>
  <c r="H178" i="5"/>
  <c r="F178" i="5"/>
  <c r="H177" i="5"/>
  <c r="F177" i="5"/>
  <c r="H176" i="5"/>
  <c r="F176" i="5"/>
  <c r="H175" i="5"/>
  <c r="F175" i="5"/>
  <c r="H174" i="5"/>
  <c r="F174" i="5"/>
  <c r="H173" i="5"/>
  <c r="F173" i="5"/>
  <c r="H172" i="5"/>
  <c r="F172" i="5"/>
  <c r="H171" i="5"/>
  <c r="F171" i="5"/>
  <c r="H170" i="5"/>
  <c r="F170" i="5"/>
  <c r="H169" i="5"/>
  <c r="F169" i="5"/>
  <c r="H168" i="5"/>
  <c r="F168" i="5"/>
  <c r="H167" i="5"/>
  <c r="F167" i="5"/>
  <c r="H166" i="5"/>
  <c r="F166" i="5"/>
  <c r="H165" i="5"/>
  <c r="F165" i="5"/>
  <c r="H164" i="5"/>
  <c r="F164" i="5"/>
  <c r="H163" i="5"/>
  <c r="F163" i="5"/>
  <c r="H162" i="5"/>
  <c r="F162" i="5"/>
  <c r="H161" i="5"/>
  <c r="F161" i="5"/>
  <c r="H160" i="5"/>
  <c r="F160" i="5"/>
  <c r="H159" i="5"/>
  <c r="F159" i="5"/>
  <c r="H158" i="5"/>
  <c r="F158" i="5"/>
  <c r="H157" i="5"/>
  <c r="F157" i="5"/>
  <c r="H156" i="5"/>
  <c r="F156" i="5"/>
  <c r="H155" i="5"/>
  <c r="F155" i="5"/>
  <c r="H154" i="5"/>
  <c r="F154" i="5"/>
  <c r="H153" i="5"/>
  <c r="F153" i="5"/>
  <c r="H152" i="5"/>
  <c r="F152" i="5"/>
  <c r="H151" i="5"/>
  <c r="F151" i="5"/>
  <c r="H150" i="5"/>
  <c r="F150" i="5"/>
  <c r="H149" i="5"/>
  <c r="F149" i="5"/>
  <c r="H148" i="5"/>
  <c r="F148" i="5"/>
  <c r="H147" i="5"/>
  <c r="F147" i="5"/>
  <c r="H146" i="5"/>
  <c r="F146" i="5"/>
  <c r="H145" i="5"/>
  <c r="F145" i="5"/>
  <c r="H144" i="5"/>
  <c r="F144" i="5"/>
  <c r="H143" i="5"/>
  <c r="F143" i="5"/>
  <c r="H142" i="5"/>
  <c r="F142" i="5"/>
  <c r="H141" i="5"/>
  <c r="F141" i="5"/>
  <c r="H140" i="5"/>
  <c r="F140" i="5"/>
  <c r="H139" i="5"/>
  <c r="F139" i="5"/>
  <c r="H138" i="5"/>
  <c r="F138" i="5"/>
  <c r="H137" i="5"/>
  <c r="F137" i="5"/>
  <c r="H136" i="5"/>
  <c r="F136" i="5"/>
  <c r="H135" i="5"/>
  <c r="F135" i="5"/>
  <c r="H134" i="5"/>
  <c r="F134" i="5"/>
  <c r="H133" i="5"/>
  <c r="F133" i="5"/>
  <c r="H132" i="5"/>
  <c r="F132" i="5"/>
  <c r="H131" i="5"/>
  <c r="F131" i="5"/>
  <c r="H130" i="5"/>
  <c r="F130" i="5"/>
  <c r="H129" i="5"/>
  <c r="F129" i="5"/>
  <c r="H128" i="5"/>
  <c r="F128" i="5"/>
  <c r="H127" i="5"/>
  <c r="F127" i="5"/>
  <c r="H126" i="5"/>
  <c r="F126" i="5"/>
  <c r="H125" i="5"/>
  <c r="F125" i="5"/>
  <c r="H124" i="5"/>
  <c r="F124" i="5"/>
  <c r="H123" i="5"/>
  <c r="F123" i="5"/>
  <c r="H122" i="5"/>
  <c r="F122" i="5"/>
  <c r="H121" i="5"/>
  <c r="F121" i="5"/>
  <c r="H120" i="5"/>
  <c r="F120" i="5"/>
  <c r="H119" i="5"/>
  <c r="F119" i="5"/>
  <c r="H118" i="5"/>
  <c r="F118" i="5"/>
  <c r="H117" i="5"/>
  <c r="F117" i="5"/>
  <c r="H116" i="5"/>
  <c r="F116" i="5"/>
  <c r="H115" i="5"/>
  <c r="F115" i="5"/>
  <c r="H114" i="5"/>
  <c r="F114" i="5"/>
  <c r="H113" i="5"/>
  <c r="F113" i="5"/>
  <c r="H112" i="5"/>
  <c r="F112" i="5"/>
  <c r="H111" i="5"/>
  <c r="F111" i="5"/>
  <c r="H110" i="5"/>
  <c r="F110" i="5"/>
  <c r="H109" i="5"/>
  <c r="F109" i="5"/>
  <c r="H108" i="5"/>
  <c r="F108" i="5"/>
  <c r="H107" i="5"/>
  <c r="F107" i="5"/>
  <c r="H106" i="5"/>
  <c r="F106" i="5"/>
  <c r="H105" i="5"/>
  <c r="F105" i="5"/>
  <c r="H104" i="5"/>
  <c r="F104" i="5"/>
  <c r="H103" i="5"/>
  <c r="F103" i="5"/>
  <c r="H102" i="5"/>
  <c r="F102" i="5"/>
  <c r="H101" i="5"/>
  <c r="F101" i="5"/>
  <c r="H100" i="5"/>
  <c r="F100" i="5"/>
  <c r="H99" i="5"/>
  <c r="F99" i="5"/>
  <c r="H98" i="5"/>
  <c r="F98" i="5"/>
  <c r="H97" i="5"/>
  <c r="F97" i="5"/>
  <c r="H96" i="5"/>
  <c r="F96" i="5"/>
  <c r="H95" i="5"/>
  <c r="F95" i="5"/>
  <c r="H94" i="5"/>
  <c r="F94" i="5"/>
  <c r="H93" i="5"/>
  <c r="F93" i="5"/>
  <c r="H92" i="5"/>
  <c r="F92" i="5"/>
  <c r="H91" i="5"/>
  <c r="F91" i="5"/>
  <c r="H90" i="5"/>
  <c r="F90" i="5"/>
  <c r="H89" i="5"/>
  <c r="F89" i="5"/>
  <c r="H88" i="5"/>
  <c r="F88" i="5"/>
  <c r="H87" i="5"/>
  <c r="F87" i="5"/>
  <c r="H86" i="5"/>
  <c r="F86" i="5"/>
  <c r="H85" i="5"/>
  <c r="F85" i="5"/>
  <c r="H84" i="5"/>
  <c r="F84" i="5"/>
  <c r="H83" i="5"/>
  <c r="F83" i="5"/>
  <c r="H82" i="5"/>
  <c r="F82" i="5"/>
  <c r="H81" i="5"/>
  <c r="F81" i="5"/>
  <c r="H80" i="5"/>
  <c r="F80" i="5"/>
  <c r="H79" i="5"/>
  <c r="F79" i="5"/>
  <c r="H78" i="5"/>
  <c r="F78" i="5"/>
  <c r="H77" i="5"/>
  <c r="F77" i="5"/>
  <c r="H76" i="5"/>
  <c r="F76" i="5"/>
  <c r="H75" i="5"/>
  <c r="F75" i="5"/>
  <c r="H74" i="5"/>
  <c r="F74" i="5"/>
  <c r="H73" i="5"/>
  <c r="F73" i="5"/>
  <c r="H72" i="5"/>
  <c r="F72" i="5"/>
  <c r="H71" i="5"/>
  <c r="F71" i="5"/>
  <c r="H70" i="5"/>
  <c r="F70" i="5"/>
  <c r="H69" i="5"/>
  <c r="F69" i="5"/>
  <c r="H68" i="5"/>
  <c r="F68" i="5"/>
  <c r="H67" i="5"/>
  <c r="F67" i="5"/>
  <c r="H66" i="5"/>
  <c r="F66" i="5"/>
  <c r="H65" i="5"/>
  <c r="F65" i="5"/>
  <c r="H64" i="5"/>
  <c r="F64" i="5"/>
  <c r="H63" i="5"/>
  <c r="F63" i="5"/>
  <c r="H62" i="5"/>
  <c r="F62" i="5"/>
  <c r="H61" i="5"/>
  <c r="F61" i="5"/>
  <c r="H60" i="5"/>
  <c r="F60" i="5"/>
  <c r="H59" i="5"/>
  <c r="F59" i="5"/>
  <c r="H58" i="5"/>
  <c r="F58" i="5"/>
  <c r="H57" i="5"/>
  <c r="F57" i="5"/>
  <c r="H56" i="5"/>
  <c r="F56" i="5"/>
  <c r="H55" i="5"/>
  <c r="F55" i="5"/>
  <c r="H54" i="5"/>
  <c r="F54" i="5"/>
  <c r="H53" i="5"/>
  <c r="F53" i="5"/>
  <c r="H52" i="5"/>
  <c r="F52" i="5"/>
  <c r="H51" i="5"/>
  <c r="F51" i="5"/>
  <c r="H50" i="5"/>
  <c r="F50" i="5"/>
  <c r="H49" i="5"/>
  <c r="F49" i="5"/>
  <c r="H48" i="5"/>
  <c r="F48" i="5"/>
  <c r="H47" i="5"/>
  <c r="F47" i="5"/>
  <c r="H46" i="5"/>
  <c r="F46" i="5"/>
  <c r="H45" i="5"/>
  <c r="F45" i="5"/>
  <c r="H44" i="5"/>
  <c r="F44" i="5"/>
  <c r="H43" i="5"/>
  <c r="F43" i="5"/>
  <c r="H42" i="5"/>
  <c r="F42" i="5"/>
  <c r="H41" i="5"/>
  <c r="F41" i="5"/>
  <c r="H40" i="5"/>
  <c r="F40" i="5"/>
  <c r="H39" i="5"/>
  <c r="F39" i="5"/>
  <c r="H38" i="5"/>
  <c r="F38" i="5"/>
  <c r="H37" i="5"/>
  <c r="F37" i="5"/>
  <c r="H36" i="5"/>
  <c r="F36" i="5"/>
  <c r="H35" i="5"/>
  <c r="F35" i="5"/>
  <c r="H34" i="5"/>
  <c r="F34" i="5"/>
  <c r="H33" i="5"/>
  <c r="F33" i="5"/>
  <c r="H32" i="5"/>
  <c r="F32" i="5"/>
  <c r="H31" i="5"/>
  <c r="F31" i="5"/>
  <c r="H30" i="5"/>
  <c r="F30" i="5"/>
  <c r="H29" i="5"/>
  <c r="F29" i="5"/>
  <c r="H28" i="5"/>
  <c r="F28" i="5"/>
  <c r="H27" i="5"/>
  <c r="F27" i="5"/>
  <c r="H26" i="5"/>
  <c r="F26" i="5"/>
  <c r="H25" i="5"/>
  <c r="F25" i="5"/>
  <c r="H24" i="5"/>
  <c r="F24" i="5"/>
  <c r="H23" i="5"/>
  <c r="F23" i="5"/>
  <c r="H22" i="5"/>
  <c r="F22" i="5"/>
  <c r="H21" i="5"/>
  <c r="F21" i="5"/>
  <c r="H20" i="5"/>
  <c r="F20" i="5"/>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H3" i="5"/>
  <c r="F3" i="5"/>
  <c r="H2" i="5"/>
  <c r="F2" i="5"/>
</calcChain>
</file>

<file path=xl/sharedStrings.xml><?xml version="1.0" encoding="utf-8"?>
<sst xmlns="http://schemas.openxmlformats.org/spreadsheetml/2006/main" count="3088" uniqueCount="483">
  <si>
    <t>Row Labels</t>
  </si>
  <si>
    <t>Average of PRICE</t>
  </si>
  <si>
    <t>Binnamangala</t>
  </si>
  <si>
    <t>Cunningham Road</t>
  </si>
  <si>
    <t>Hunasamaranahalli</t>
  </si>
  <si>
    <t>Sector 1 HSR Layout</t>
  </si>
  <si>
    <t>Siddapura</t>
  </si>
  <si>
    <t>Grand Total</t>
  </si>
  <si>
    <t>Sum of PRICE</t>
  </si>
  <si>
    <t>Large</t>
  </si>
  <si>
    <t>Medium</t>
  </si>
  <si>
    <t>Small</t>
  </si>
  <si>
    <t>Count of property_type</t>
  </si>
  <si>
    <t>Column Labels</t>
  </si>
  <si>
    <t>Count of location</t>
  </si>
  <si>
    <t>7th Phase JP Nagar</t>
  </si>
  <si>
    <t>Electronic City</t>
  </si>
  <si>
    <t>Haralur Road</t>
  </si>
  <si>
    <t>Hebbal</t>
  </si>
  <si>
    <t>Kanakpura Road</t>
  </si>
  <si>
    <t>Marathahalli</t>
  </si>
  <si>
    <t>Raja Rajeshwari Nagar</t>
  </si>
  <si>
    <t>Sarjapur  Road</t>
  </si>
  <si>
    <t>Thanisandra</t>
  </si>
  <si>
    <t>Uttarahalli</t>
  </si>
  <si>
    <t>Whitefield</t>
  </si>
  <si>
    <t>Yelahanka</t>
  </si>
  <si>
    <t xml:space="preserve">3 </t>
  </si>
  <si>
    <t>1st Block Jayanagar</t>
  </si>
  <si>
    <t>2nd Block Hrbr Layout</t>
  </si>
  <si>
    <t>2nd Phase JP Nagar</t>
  </si>
  <si>
    <t>6th block banashankari 3rd stage, 100 feet ORR</t>
  </si>
  <si>
    <t>8th block Koramangala</t>
  </si>
  <si>
    <t>8th Phase JP Nagar</t>
  </si>
  <si>
    <t>AECS Layout</t>
  </si>
  <si>
    <t>Akshaya Nagar</t>
  </si>
  <si>
    <t>Ambalipura</t>
  </si>
  <si>
    <t>Ambedkar Colony</t>
  </si>
  <si>
    <t>Ambedkar Nagar</t>
  </si>
  <si>
    <t>Amco Colony</t>
  </si>
  <si>
    <t>Anjanapura</t>
  </si>
  <si>
    <t>Ardendale</t>
  </si>
  <si>
    <t>Arekere</t>
  </si>
  <si>
    <t>Ashwath Nagar</t>
  </si>
  <si>
    <t>Avalahalli</t>
  </si>
  <si>
    <t>B Narayanapura</t>
  </si>
  <si>
    <t>Babusapalaya</t>
  </si>
  <si>
    <t>Balagere</t>
  </si>
  <si>
    <t>Banashankari</t>
  </si>
  <si>
    <t>Banashankari Stage III</t>
  </si>
  <si>
    <t>Banashankari3rd stage bigbazar</t>
  </si>
  <si>
    <t>Banjara Layout</t>
  </si>
  <si>
    <t>Bannerghatta Road</t>
  </si>
  <si>
    <t>Basavanagara</t>
  </si>
  <si>
    <t>Basavanapura</t>
  </si>
  <si>
    <t>Basavanna Nagar</t>
  </si>
  <si>
    <t>Basaveshwara Nagar</t>
  </si>
  <si>
    <t>Battarahalli</t>
  </si>
  <si>
    <t>Begur Road</t>
  </si>
  <si>
    <t>Bellandur</t>
  </si>
  <si>
    <t>BEML Layout</t>
  </si>
  <si>
    <t>Bendiganahalli</t>
  </si>
  <si>
    <t>Bhoganhalli</t>
  </si>
  <si>
    <t>Billekahalli</t>
  </si>
  <si>
    <t>Binny Pete</t>
  </si>
  <si>
    <t>Bisuvanahalli</t>
  </si>
  <si>
    <t>Bommasandra</t>
  </si>
  <si>
    <t>Bommasandra Industrial Area</t>
  </si>
  <si>
    <t>Brookefield</t>
  </si>
  <si>
    <t>Budigere</t>
  </si>
  <si>
    <t>Bull Temple Road</t>
  </si>
  <si>
    <t>Byatarayanapura</t>
  </si>
  <si>
    <t>Canara Bank Layout</t>
  </si>
  <si>
    <t>Chamrajpet</t>
  </si>
  <si>
    <t>Chandapura</t>
  </si>
  <si>
    <t>Chandra Layout</t>
  </si>
  <si>
    <t>Channasandra</t>
  </si>
  <si>
    <t>Chikkaballapur</t>
  </si>
  <si>
    <t>Chikkalasandra</t>
  </si>
  <si>
    <t>CHIKKATIRUPATHI</t>
  </si>
  <si>
    <t>Cholanayakanahalli</t>
  </si>
  <si>
    <t>Coffee Board Layout</t>
  </si>
  <si>
    <t>Cox Town</t>
  </si>
  <si>
    <t>CV Raman Nagar</t>
  </si>
  <si>
    <t>Dairy Circle</t>
  </si>
  <si>
    <t>Dasarahalli</t>
  </si>
  <si>
    <t>Devanahalli</t>
  </si>
  <si>
    <t>Devarachikkanahalli</t>
  </si>
  <si>
    <t>Divya Unnathi Layout</t>
  </si>
  <si>
    <t>Dodda Kempaiah Layout</t>
  </si>
  <si>
    <t>Doddagubbi</t>
  </si>
  <si>
    <t>Domlur</t>
  </si>
  <si>
    <t>Dommasandra</t>
  </si>
  <si>
    <t>Dooravani Nagar</t>
  </si>
  <si>
    <t>Double Road</t>
  </si>
  <si>
    <t>Dr Shivarama Karantha Nagar</t>
  </si>
  <si>
    <t>Electronic City Phase II</t>
  </si>
  <si>
    <t>Electronics City Phase 1</t>
  </si>
  <si>
    <t>EPIP Zone</t>
  </si>
  <si>
    <t>FARLAHM</t>
  </si>
  <si>
    <t>Garudachar Palya</t>
  </si>
  <si>
    <t>GM Palaya</t>
  </si>
  <si>
    <t>Gopalapura</t>
  </si>
  <si>
    <t>Gopalkrishna Nagar</t>
  </si>
  <si>
    <t>Gottigere</t>
  </si>
  <si>
    <t>Green Glen Layout</t>
  </si>
  <si>
    <t>Gubbalala</t>
  </si>
  <si>
    <t>Gunjur</t>
  </si>
  <si>
    <t>Harlur</t>
  </si>
  <si>
    <t>Hebbal Kempapura</t>
  </si>
  <si>
    <t>Hegde Nagar</t>
  </si>
  <si>
    <t>Hennur Road</t>
  </si>
  <si>
    <t>Herohalli</t>
  </si>
  <si>
    <t>Hoodi</t>
  </si>
  <si>
    <t xml:space="preserve">Hoodi Circle, </t>
  </si>
  <si>
    <t>Horamavu Agara</t>
  </si>
  <si>
    <t>Horamavu Banaswadi</t>
  </si>
  <si>
    <t>Hosa Road</t>
  </si>
  <si>
    <t>Hosahalli</t>
  </si>
  <si>
    <t>Hosakerehalli</t>
  </si>
  <si>
    <t>Hosur Road</t>
  </si>
  <si>
    <t>Hoysalanagar</t>
  </si>
  <si>
    <t>HSR Layout</t>
  </si>
  <si>
    <t>Hulimavu</t>
  </si>
  <si>
    <t>Huskur</t>
  </si>
  <si>
    <t>Iblur Village</t>
  </si>
  <si>
    <t>ITI Layout</t>
  </si>
  <si>
    <t>ITPL</t>
  </si>
  <si>
    <t>Jai Bheema Nagar</t>
  </si>
  <si>
    <t>Jakkur</t>
  </si>
  <si>
    <t>Jalahalli</t>
  </si>
  <si>
    <t>Jalahalli East</t>
  </si>
  <si>
    <t>Jaya Nagar East</t>
  </si>
  <si>
    <t>Jigani</t>
  </si>
  <si>
    <t>JP Nagar</t>
  </si>
  <si>
    <t>K G Colony</t>
  </si>
  <si>
    <t>Kadugodi</t>
  </si>
  <si>
    <t>Kaggadasapura</t>
  </si>
  <si>
    <t>Kaggalipura</t>
  </si>
  <si>
    <t>Kalena Agrahara</t>
  </si>
  <si>
    <t>Kalyan nagar</t>
  </si>
  <si>
    <t>Kambipura</t>
  </si>
  <si>
    <t>Kammasandra</t>
  </si>
  <si>
    <t>Kanakapura</t>
  </si>
  <si>
    <t>Kariyammana Agrahara</t>
  </si>
  <si>
    <t>Kasavanhalli</t>
  </si>
  <si>
    <t>Kasturi Nagar</t>
  </si>
  <si>
    <t>Kathriguppe</t>
  </si>
  <si>
    <t>Kengeri</t>
  </si>
  <si>
    <t>Kengeri Satellite Town</t>
  </si>
  <si>
    <t>Keshava Nagar</t>
  </si>
  <si>
    <t>Kodanda Reddy Layout</t>
  </si>
  <si>
    <t>Kodbisanhalli</t>
  </si>
  <si>
    <t>Kodichikkanahalli</t>
  </si>
  <si>
    <t>Kodigehaali</t>
  </si>
  <si>
    <t>Kogilu</t>
  </si>
  <si>
    <t>Konanakunte</t>
  </si>
  <si>
    <t>Koramangala</t>
  </si>
  <si>
    <t>Kothannur</t>
  </si>
  <si>
    <t>Kothanur</t>
  </si>
  <si>
    <t>Kudlu Gate</t>
  </si>
  <si>
    <t>KUDLU MAIN ROAD</t>
  </si>
  <si>
    <t>Kundalahalli</t>
  </si>
  <si>
    <t>Lakshmiamma Garden</t>
  </si>
  <si>
    <t>Lakshminarayana Pura</t>
  </si>
  <si>
    <t>Langford Town</t>
  </si>
  <si>
    <t>LB Shastri Nagar</t>
  </si>
  <si>
    <t>Lingadheeranahalli</t>
  </si>
  <si>
    <t>Magadi Road</t>
  </si>
  <si>
    <t>Mahadevpura</t>
  </si>
  <si>
    <t>Mallasandra</t>
  </si>
  <si>
    <t>Malleshwaram</t>
  </si>
  <si>
    <t>Manayata Tech Park</t>
  </si>
  <si>
    <t>Mangammanapalya</t>
  </si>
  <si>
    <t>Mango Garden Layout</t>
  </si>
  <si>
    <t>manyata park</t>
  </si>
  <si>
    <t>Maragondanahalli</t>
  </si>
  <si>
    <t>Marathalli bridge</t>
  </si>
  <si>
    <t>Meenakunte</t>
  </si>
  <si>
    <t>MS Pallya</t>
  </si>
  <si>
    <t>Muthurayya Swamy Layout</t>
  </si>
  <si>
    <t>Mysore Highway</t>
  </si>
  <si>
    <t>Mysore Road</t>
  </si>
  <si>
    <t>Nagarbhavi</t>
  </si>
  <si>
    <t>Nagondanahalli</t>
  </si>
  <si>
    <t>Narayanapura</t>
  </si>
  <si>
    <t>Ngef Layout</t>
  </si>
  <si>
    <t>NRI Layout</t>
  </si>
  <si>
    <t xml:space="preserve">Off Sarjapur Road, </t>
  </si>
  <si>
    <t>Old Airport Road</t>
  </si>
  <si>
    <t>Old Madras Road</t>
  </si>
  <si>
    <t>OMBR Layout</t>
  </si>
  <si>
    <t>Panathur</t>
  </si>
  <si>
    <t>Pattandur Agrahara</t>
  </si>
  <si>
    <t>Peenya</t>
  </si>
  <si>
    <t>Prashanth Nagar</t>
  </si>
  <si>
    <t>Rachenahalli</t>
  </si>
  <si>
    <t>Rajaji Nagar</t>
  </si>
  <si>
    <t>Rajiv Nagar</t>
  </si>
  <si>
    <t>Ramakrishnappa Layout</t>
  </si>
  <si>
    <t>Ramanjaneyanagar</t>
  </si>
  <si>
    <t>Rayasandra</t>
  </si>
  <si>
    <t>Richmond Town</t>
  </si>
  <si>
    <t>RMV</t>
  </si>
  <si>
    <t>RMV Extension</t>
  </si>
  <si>
    <t>RWF West Colony</t>
  </si>
  <si>
    <t>Sadashiva Nagar</t>
  </si>
  <si>
    <t>Sahakara Nagar</t>
  </si>
  <si>
    <t>Sampigehalli</t>
  </si>
  <si>
    <t>Sanjeevini Nagar</t>
  </si>
  <si>
    <t>Sarjapur</t>
  </si>
  <si>
    <t>Sarjapura - Attibele Road</t>
  </si>
  <si>
    <t>Seegehalli</t>
  </si>
  <si>
    <t>Shantiniketan Layout</t>
  </si>
  <si>
    <t>Silk Board</t>
  </si>
  <si>
    <t>Silver Springs Layout</t>
  </si>
  <si>
    <t>Singasandra</t>
  </si>
  <si>
    <t>Singena Agrahara</t>
  </si>
  <si>
    <t>Somasundara Palya</t>
  </si>
  <si>
    <t>Sompura</t>
  </si>
  <si>
    <t>Srinivasa Nagar</t>
  </si>
  <si>
    <t>Suddaguntepalya</t>
  </si>
  <si>
    <t>Sunder Ram Shetty Nagar</t>
  </si>
  <si>
    <t>Surabhi Layout</t>
  </si>
  <si>
    <t>Suragajakkanahalli</t>
  </si>
  <si>
    <t>Suraksha Nagar</t>
  </si>
  <si>
    <t>T Dasarahalli</t>
  </si>
  <si>
    <t>Tala Cauvery Layout</t>
  </si>
  <si>
    <t>Talaghattapura</t>
  </si>
  <si>
    <t>TC Palaya</t>
  </si>
  <si>
    <t>Teachers Colony</t>
  </si>
  <si>
    <t>Tejaswini Nagar</t>
  </si>
  <si>
    <t>Tharabanahalli</t>
  </si>
  <si>
    <t>Thigalarapalya</t>
  </si>
  <si>
    <t>Tindlu</t>
  </si>
  <si>
    <t>Tumkur Road</t>
  </si>
  <si>
    <t>Udayapur Village</t>
  </si>
  <si>
    <t>Ulsoor</t>
  </si>
  <si>
    <t>unkonwn</t>
  </si>
  <si>
    <t>Vadarpalya</t>
  </si>
  <si>
    <t>Varthur</t>
  </si>
  <si>
    <t>Vasanth nagar</t>
  </si>
  <si>
    <t>Vasantha Vallabha Nagar</t>
  </si>
  <si>
    <t>Vasanthapura</t>
  </si>
  <si>
    <t>Vidyaranyapura</t>
  </si>
  <si>
    <t>Vijayanagar</t>
  </si>
  <si>
    <t>Williams Town</t>
  </si>
  <si>
    <t>Yarandahalli</t>
  </si>
  <si>
    <t>Yelachenahalli</t>
  </si>
  <si>
    <t xml:space="preserve">Yemlur, Old Airport Road, </t>
  </si>
  <si>
    <t>Yeshwanthpur</t>
  </si>
  <si>
    <t>Sum of total_sqft</t>
  </si>
  <si>
    <t xml:space="preserve">                                    🏠 Bengaluru Housing Price Analysis</t>
  </si>
  <si>
    <t>-Table1_2!E12:G16</t>
  </si>
  <si>
    <t>location</t>
  </si>
  <si>
    <t>property_type</t>
  </si>
  <si>
    <t>Bedroom</t>
  </si>
  <si>
    <t>balcony</t>
  </si>
  <si>
    <t>SIZE _ROOM</t>
  </si>
  <si>
    <t>Area Type</t>
  </si>
  <si>
    <t>PRICE</t>
  </si>
  <si>
    <t>PRICE CATEGORY</t>
  </si>
  <si>
    <t xml:space="preserve">2 </t>
  </si>
  <si>
    <t>Chikka Tirupathi</t>
  </si>
  <si>
    <t xml:space="preserve">4 </t>
  </si>
  <si>
    <t>Gandhi Bazar</t>
  </si>
  <si>
    <t xml:space="preserve">6 </t>
  </si>
  <si>
    <t xml:space="preserve">1 </t>
  </si>
  <si>
    <t>Ramagondanahalli</t>
  </si>
  <si>
    <t>Murugeshpalya</t>
  </si>
  <si>
    <t>Ganga Nagar</t>
  </si>
  <si>
    <t xml:space="preserve">8 </t>
  </si>
  <si>
    <t>Doddathoguru</t>
  </si>
  <si>
    <t>KR Puram</t>
  </si>
  <si>
    <t>Himagiri Meadows</t>
  </si>
  <si>
    <t>Adarsh Nagar</t>
  </si>
  <si>
    <t>Govindaraja Nagar Ward</t>
  </si>
  <si>
    <t>Bommanahalli</t>
  </si>
  <si>
    <t>Kaval Byrasandra</t>
  </si>
  <si>
    <t>ISRO Layout</t>
  </si>
  <si>
    <t>Dasanapura</t>
  </si>
  <si>
    <t>Sanjay nagar</t>
  </si>
  <si>
    <t>Devasthanagalu</t>
  </si>
  <si>
    <t>Green View Layout</t>
  </si>
  <si>
    <t>Jalahalli West</t>
  </si>
  <si>
    <t>Ramamurthy Nagar</t>
  </si>
  <si>
    <t>Shampura</t>
  </si>
  <si>
    <t>Vajarahalli</t>
  </si>
  <si>
    <t>Hormavu</t>
  </si>
  <si>
    <t>Vishwapriya Layout</t>
  </si>
  <si>
    <t xml:space="preserve">7 </t>
  </si>
  <si>
    <t>Ramaswamy Palya - Kammanahalli Main Road</t>
  </si>
  <si>
    <t xml:space="preserve">5 </t>
  </si>
  <si>
    <t>Anandapura</t>
  </si>
  <si>
    <t>Vishveshwarya Layout</t>
  </si>
  <si>
    <t>Dinnur</t>
  </si>
  <si>
    <t>Kannamangala</t>
  </si>
  <si>
    <t>Mahalakshmi Layout</t>
  </si>
  <si>
    <t>Kothnur Narayanapura</t>
  </si>
  <si>
    <t>Attibele</t>
  </si>
  <si>
    <t>Kumaraswami Layout</t>
  </si>
  <si>
    <t>Nagavara</t>
  </si>
  <si>
    <t>Jakkuru Layout</t>
  </si>
  <si>
    <t>Ejipura</t>
  </si>
  <si>
    <t>Nagasandra</t>
  </si>
  <si>
    <t>Padmanabhanagar</t>
  </si>
  <si>
    <t>Lakshminarayanapura, Electronic City Phase 2</t>
  </si>
  <si>
    <t>Dodda Nekkundi Extension</t>
  </si>
  <si>
    <t>Mylasandra</t>
  </si>
  <si>
    <t>Bank Of Baroda Colony</t>
  </si>
  <si>
    <t>Kullappa Colony</t>
  </si>
  <si>
    <t>Mukkutam Nagar</t>
  </si>
  <si>
    <t>Ncpr Industrial Layout</t>
  </si>
  <si>
    <t>Anand Nagar</t>
  </si>
  <si>
    <t>Shree Ananth Nagar Layout</t>
  </si>
  <si>
    <t>Kundalahalli Colony</t>
  </si>
  <si>
    <t>MCECHS  layout</t>
  </si>
  <si>
    <t>Geleyara Balaga Layout</t>
  </si>
  <si>
    <t>Sundara Nagar</t>
  </si>
  <si>
    <t>Gollarapalya Hosahalli</t>
  </si>
  <si>
    <t>Srirampura</t>
  </si>
  <si>
    <t>9th Phase JP Nagar</t>
  </si>
  <si>
    <t>Maruthi Sevanagar</t>
  </si>
  <si>
    <t>RMV 2nd Stage</t>
  </si>
  <si>
    <t>Begur</t>
  </si>
  <si>
    <t>Malleshpalya</t>
  </si>
  <si>
    <t>Kodathi</t>
  </si>
  <si>
    <t>Munnekollal</t>
  </si>
  <si>
    <t>Motappa Layout</t>
  </si>
  <si>
    <t>Akshaya Vana</t>
  </si>
  <si>
    <t>6th Phase JP Nagar</t>
  </si>
  <si>
    <t>T.C PALYA</t>
  </si>
  <si>
    <t>Muneshwara Nagar</t>
  </si>
  <si>
    <t>Bagalur Main Road</t>
  </si>
  <si>
    <t>Kodihalli</t>
  </si>
  <si>
    <t>Binny Mills Employees Colony</t>
  </si>
  <si>
    <t>Hennur</t>
  </si>
  <si>
    <t>5th Phase JP Nagar</t>
  </si>
  <si>
    <t>Anekal</t>
  </si>
  <si>
    <t>Ashirvad Colony</t>
  </si>
  <si>
    <t>Dodda Nekkundi</t>
  </si>
  <si>
    <t>K N Extension</t>
  </si>
  <si>
    <t>Gokula Extension</t>
  </si>
  <si>
    <t>Kamakshipalya</t>
  </si>
  <si>
    <t>Sultan Palaya</t>
  </si>
  <si>
    <t>Sanne Amanikere</t>
  </si>
  <si>
    <t>Samethanahalli</t>
  </si>
  <si>
    <t>Yelenahalli</t>
  </si>
  <si>
    <t>Vittasandra</t>
  </si>
  <si>
    <t>Thippasandra</t>
  </si>
  <si>
    <t>Chikkabidarakallu</t>
  </si>
  <si>
    <t>1 FARLAHM</t>
  </si>
  <si>
    <t>11</t>
  </si>
  <si>
    <t>Defence Colony</t>
  </si>
  <si>
    <t>2nd Stage Nagarbhavi</t>
  </si>
  <si>
    <t>Amruthahalli</t>
  </si>
  <si>
    <t>ITI Employees Layout</t>
  </si>
  <si>
    <t>Kodigehalli</t>
  </si>
  <si>
    <t>Patelappa Layout</t>
  </si>
  <si>
    <t>Ring Road Nagarbhavi</t>
  </si>
  <si>
    <t>NS Palya</t>
  </si>
  <si>
    <t>Subramanyapura</t>
  </si>
  <si>
    <t>Basavangudi</t>
  </si>
  <si>
    <t>Kenchenahalli</t>
  </si>
  <si>
    <t>3rd Block Hrbr Layout</t>
  </si>
  <si>
    <t>Bank Avenue</t>
  </si>
  <si>
    <t>Omkar Nagar</t>
  </si>
  <si>
    <t>Kereguddadahalli</t>
  </si>
  <si>
    <t>Kada Agrahara</t>
  </si>
  <si>
    <t>BHEL Layout</t>
  </si>
  <si>
    <t>Medahalli</t>
  </si>
  <si>
    <t>Kashi Nagar</t>
  </si>
  <si>
    <t>Sector 7 HSR Layout</t>
  </si>
  <si>
    <t>VHBCS Layout</t>
  </si>
  <si>
    <t>Ittamadu</t>
  </si>
  <si>
    <t>Gattahalli</t>
  </si>
  <si>
    <t>Mico Layout</t>
  </si>
  <si>
    <t xml:space="preserve">9 </t>
  </si>
  <si>
    <t>7th Block Jayanagar</t>
  </si>
  <si>
    <t>Kammanahalli</t>
  </si>
  <si>
    <t>Chikkabanavar</t>
  </si>
  <si>
    <t>HRBR Layout</t>
  </si>
  <si>
    <t>Ashwini layout</t>
  </si>
  <si>
    <t/>
  </si>
  <si>
    <t>JCR Layout</t>
  </si>
  <si>
    <t>Nehru Nagar</t>
  </si>
  <si>
    <t>Papareddipalya</t>
  </si>
  <si>
    <t>Venkatapura</t>
  </si>
  <si>
    <t>Sneha Colony</t>
  </si>
  <si>
    <t>Hosapalya</t>
  </si>
  <si>
    <t>Sector 6 HSR Layout</t>
  </si>
  <si>
    <t>Margondanahalli</t>
  </si>
  <si>
    <t>R.T. Nagar</t>
  </si>
  <si>
    <t>near Ramanashree California resort</t>
  </si>
  <si>
    <t>Poornapragna Housing Society Layout</t>
  </si>
  <si>
    <t>Indira Nagar</t>
  </si>
  <si>
    <t>Shanthala Nagar</t>
  </si>
  <si>
    <t>Bettahalsoor</t>
  </si>
  <si>
    <t>Sulthangunta</t>
  </si>
  <si>
    <t>Byrathi Village</t>
  </si>
  <si>
    <t>Varthur Road</t>
  </si>
  <si>
    <t>Anjappa Layout</t>
  </si>
  <si>
    <t>Prakruthi Nagar</t>
  </si>
  <si>
    <t>Sadaramangala</t>
  </si>
  <si>
    <t>Abbigere</t>
  </si>
  <si>
    <t>Green Garden Layout</t>
  </si>
  <si>
    <t>Parappana Agrahara</t>
  </si>
  <si>
    <t>Jeevan bima nagar</t>
  </si>
  <si>
    <t>Narayana Nagar 1st Block</t>
  </si>
  <si>
    <t>KSRTC Layout</t>
  </si>
  <si>
    <t>P&amp;T Colony</t>
  </si>
  <si>
    <t>New Gurappana Palya</t>
  </si>
  <si>
    <t>Chelekare</t>
  </si>
  <si>
    <t>Palanahalli</t>
  </si>
  <si>
    <t>Kudlu</t>
  </si>
  <si>
    <t>Shivanagar</t>
  </si>
  <si>
    <t>V.V Puram</t>
  </si>
  <si>
    <t>Sector 3 HSR Layout</t>
  </si>
  <si>
    <t>Banashankari Stage VI</t>
  </si>
  <si>
    <t>HMT Layout</t>
  </si>
  <si>
    <t>Kalasipalya</t>
  </si>
  <si>
    <t>HBR Layout</t>
  </si>
  <si>
    <t>4 Bedroom Farm House in Bagalur</t>
  </si>
  <si>
    <t>Yelahanka New Town</t>
  </si>
  <si>
    <t>Belathur</t>
  </si>
  <si>
    <t>Shirdi Sai Layout</t>
  </si>
  <si>
    <t>Sathya Sai Layout</t>
  </si>
  <si>
    <t>Indiranagar HAL 2nd Stage</t>
  </si>
  <si>
    <t>Vishwanatha Nagenahalli</t>
  </si>
  <si>
    <t>Singapura Village</t>
  </si>
  <si>
    <t>Hosakerehalli Layout</t>
  </si>
  <si>
    <t>Hennagara</t>
  </si>
  <si>
    <t>Ferrar Nagar</t>
  </si>
  <si>
    <t>BAGUR</t>
  </si>
  <si>
    <t>Thubarahalli</t>
  </si>
  <si>
    <t>M.G Road</t>
  </si>
  <si>
    <t>Naganathapura</t>
  </si>
  <si>
    <t>1st Phase JP Nagar</t>
  </si>
  <si>
    <t>Kaverappa Layout</t>
  </si>
  <si>
    <t>NGR Layout</t>
  </si>
  <si>
    <t>sapthagiri Layout</t>
  </si>
  <si>
    <t>Alur</t>
  </si>
  <si>
    <t>Devarabisanahalli</t>
  </si>
  <si>
    <t>Sidedahalli</t>
  </si>
  <si>
    <t>Dwarka Nagar</t>
  </si>
  <si>
    <t>Thurahalli</t>
  </si>
  <si>
    <t>Hallehalli</t>
  </si>
  <si>
    <t>Kattigenahalli</t>
  </si>
  <si>
    <t>Marathi Layout</t>
  </si>
  <si>
    <t>Weavers Colony</t>
  </si>
  <si>
    <t>Raghavendra Nagar</t>
  </si>
  <si>
    <t>KR Layout</t>
  </si>
  <si>
    <t>Nagappa Reddy Layout</t>
  </si>
  <si>
    <t>Kempapura</t>
  </si>
  <si>
    <t>BTM 1st Stage</t>
  </si>
  <si>
    <t>Hessarghatta</t>
  </si>
  <si>
    <t>Lakshmi Layout</t>
  </si>
  <si>
    <t>Kadugondanahalli</t>
  </si>
  <si>
    <t>Basava Nagar</t>
  </si>
  <si>
    <t>Ananth Nagar</t>
  </si>
  <si>
    <t>Narasapura</t>
  </si>
  <si>
    <t>Manjunath Nagar</t>
  </si>
  <si>
    <t>Basapura</t>
  </si>
  <si>
    <t>Kacharakanahalli</t>
  </si>
  <si>
    <t>Bidere Agarahara, Behind Safal market</t>
  </si>
  <si>
    <t>Grihalakshmi Layout</t>
  </si>
  <si>
    <t>Choodasandra</t>
  </si>
  <si>
    <t>Sai Gardens</t>
  </si>
  <si>
    <t>Hanumanth Nagar</t>
  </si>
  <si>
    <t>Kaikondrahalli</t>
  </si>
  <si>
    <t>Bileshivale</t>
  </si>
  <si>
    <t>Neeladri Nagar</t>
  </si>
  <si>
    <t>Frazer Town</t>
  </si>
  <si>
    <t>Iggalur</t>
  </si>
  <si>
    <t>Cooke Town</t>
  </si>
  <si>
    <t>Doddakallasandra</t>
  </si>
  <si>
    <t>Chokkanahalli</t>
  </si>
  <si>
    <t>VGP Layout</t>
  </si>
  <si>
    <t>Classic Paradise Layout</t>
  </si>
  <si>
    <t>Byappanahalli</t>
  </si>
  <si>
    <t>Kalkere</t>
  </si>
  <si>
    <t>T.C. Palya</t>
  </si>
  <si>
    <t>Makali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</si>
</sst>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scheme val="minor"/>
    </font>
    <font>
      <sz val="11"/>
      <color theme="1"/>
      <name val="Calibri"/>
    </font>
    <font>
      <sz val="11"/>
      <color rgb="FF9C0006"/>
      <name val="Calibri"/>
    </font>
    <font>
      <sz val="36"/>
      <color rgb="FF00B050"/>
      <name val="Calibri"/>
    </font>
    <font>
      <sz val="11"/>
      <color rgb="FFFFFFFF"/>
      <name val="Calibri"/>
    </font>
  </fonts>
  <fills count="6">
    <fill>
      <patternFill patternType="none"/>
    </fill>
    <fill>
      <patternFill patternType="gray125"/>
    </fill>
    <fill>
      <patternFill patternType="solid">
        <fgColor rgb="FF2F5496"/>
        <bgColor rgb="FF2F5496"/>
      </patternFill>
    </fill>
    <fill>
      <patternFill patternType="solid">
        <fgColor theme="4" tint="-0.499984740745262"/>
        <bgColor rgb="FF2F5496"/>
      </patternFill>
    </fill>
    <fill>
      <patternFill patternType="solid">
        <fgColor theme="4" tint="-0.499984740745262"/>
        <bgColor indexed="64"/>
      </patternFill>
    </fill>
    <fill>
      <patternFill patternType="solid">
        <fgColor rgb="FF00B050"/>
        <bgColor indexed="64"/>
      </patternFill>
    </fill>
  </fills>
  <borders count="19">
    <border>
      <left/>
      <right/>
      <top/>
      <bottom/>
      <diagonal/>
    </border>
    <border>
      <left/>
      <right/>
      <top/>
      <bottom/>
      <diagonal/>
    </border>
    <border>
      <left style="thin">
        <color rgb="FF999999"/>
      </left>
      <right/>
      <top style="thin">
        <color rgb="FF999999"/>
      </top>
      <bottom/>
      <diagonal/>
    </border>
    <border>
      <left style="thin">
        <color rgb="FF999999"/>
      </left>
      <right style="thin">
        <color rgb="FF999999"/>
      </right>
      <top style="thin">
        <color rgb="FF999999"/>
      </top>
      <bottom/>
      <diagonal/>
    </border>
    <border>
      <left style="thin">
        <color rgb="FF999999"/>
      </left>
      <right/>
      <top style="thin">
        <color rgb="FFFFFFFF"/>
      </top>
      <bottom/>
      <diagonal/>
    </border>
    <border>
      <left style="thin">
        <color rgb="FF999999"/>
      </left>
      <right style="thin">
        <color rgb="FF999999"/>
      </right>
      <top style="thin">
        <color rgb="FFFFFFFF"/>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
      <left style="thin">
        <color rgb="FFFFFFFF"/>
      </left>
      <right/>
      <top style="thin">
        <color rgb="FF999999"/>
      </top>
      <bottom/>
      <diagonal/>
    </border>
    <border>
      <left style="thin">
        <color rgb="FFFFFFFF"/>
      </left>
      <right style="thin">
        <color rgb="FF999999"/>
      </right>
      <top style="thin">
        <color rgb="FF999999"/>
      </top>
      <bottom/>
      <diagonal/>
    </border>
    <border>
      <left/>
      <right/>
      <top style="thin">
        <color rgb="FF999999"/>
      </top>
      <bottom/>
      <diagonal/>
    </border>
    <border>
      <left/>
      <right/>
      <top style="thin">
        <color rgb="FFFFFFFF"/>
      </top>
      <bottom/>
      <diagonal/>
    </border>
    <border>
      <left/>
      <right/>
      <top style="thin">
        <color rgb="FF999999"/>
      </top>
      <bottom style="thin">
        <color rgb="FF999999"/>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s>
  <cellStyleXfs count="1">
    <xf numFmtId="0" fontId="0" fillId="0" borderId="0"/>
  </cellStyleXfs>
  <cellXfs count="39">
    <xf numFmtId="0" fontId="0" fillId="0" borderId="0" xfId="0"/>
    <xf numFmtId="0" fontId="1" fillId="2" borderId="1" xfId="0" applyFont="1" applyFill="1" applyBorder="1"/>
    <xf numFmtId="0" fontId="1" fillId="2"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horizontal="center"/>
    </xf>
    <xf numFmtId="0" fontId="1" fillId="0" borderId="2" xfId="0" applyFont="1" applyBorder="1"/>
    <xf numFmtId="0" fontId="1" fillId="0" borderId="3" xfId="0" applyFont="1" applyBorder="1"/>
    <xf numFmtId="0" fontId="1" fillId="0" borderId="2" xfId="0" applyFont="1" applyBorder="1" applyAlignment="1">
      <alignment horizontal="left"/>
    </xf>
    <xf numFmtId="0" fontId="1" fillId="0" borderId="4" xfId="0" applyFont="1" applyBorder="1" applyAlignment="1">
      <alignment horizontal="left"/>
    </xf>
    <xf numFmtId="0" fontId="1" fillId="0" borderId="5" xfId="0" applyFont="1" applyBorder="1"/>
    <xf numFmtId="0" fontId="1" fillId="0" borderId="6" xfId="0" applyFont="1" applyBorder="1" applyAlignment="1">
      <alignment horizontal="left"/>
    </xf>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1" fillId="0" borderId="4" xfId="0" applyFont="1" applyBorder="1"/>
    <xf numFmtId="0" fontId="1" fillId="0" borderId="11" xfId="0" applyFont="1" applyBorder="1"/>
    <xf numFmtId="0" fontId="1" fillId="0" borderId="6" xfId="0" applyFont="1" applyBorder="1"/>
    <xf numFmtId="0" fontId="1" fillId="0" borderId="12" xfId="0" applyFont="1" applyBorder="1"/>
    <xf numFmtId="0" fontId="1" fillId="0" borderId="0" xfId="0" applyFont="1"/>
    <xf numFmtId="0" fontId="1" fillId="0" borderId="0" xfId="0" applyFont="1" applyAlignment="1">
      <alignment horizontal="left"/>
    </xf>
    <xf numFmtId="0" fontId="4" fillId="0" borderId="0" xfId="0" applyFont="1"/>
    <xf numFmtId="2" fontId="4" fillId="0" borderId="0" xfId="0" applyNumberFormat="1" applyFont="1"/>
    <xf numFmtId="2" fontId="1" fillId="0" borderId="0" xfId="0" applyNumberFormat="1" applyFont="1"/>
    <xf numFmtId="0" fontId="1" fillId="0" borderId="0" xfId="0" applyFont="1" applyAlignment="1">
      <alignment vertical="center"/>
    </xf>
    <xf numFmtId="0" fontId="1" fillId="3" borderId="1" xfId="0" applyFont="1" applyFill="1" applyBorder="1"/>
    <xf numFmtId="0" fontId="0" fillId="4" borderId="0" xfId="0" applyFill="1"/>
    <xf numFmtId="0" fontId="3" fillId="3" borderId="1" xfId="0" applyFont="1" applyFill="1" applyBorder="1"/>
    <xf numFmtId="0" fontId="0" fillId="0" borderId="13" xfId="0" pivotButton="1" applyBorder="1"/>
    <xf numFmtId="0" fontId="0" fillId="0" borderId="15" xfId="0" applyBorder="1"/>
    <xf numFmtId="0" fontId="0" fillId="0" borderId="13" xfId="0" applyBorder="1" applyAlignment="1">
      <alignment horizontal="left"/>
    </xf>
    <xf numFmtId="0" fontId="0" fillId="0" borderId="14" xfId="0" applyBorder="1" applyAlignment="1">
      <alignment horizontal="left"/>
    </xf>
    <xf numFmtId="0" fontId="0" fillId="0" borderId="18" xfId="0" applyBorder="1" applyAlignment="1">
      <alignment horizontal="left"/>
    </xf>
    <xf numFmtId="10" fontId="0" fillId="0" borderId="15" xfId="0" applyNumberFormat="1" applyBorder="1"/>
    <xf numFmtId="10" fontId="0" fillId="0" borderId="16" xfId="0" applyNumberFormat="1" applyBorder="1"/>
    <xf numFmtId="10" fontId="0" fillId="0" borderId="17" xfId="0" applyNumberFormat="1" applyBorder="1"/>
    <xf numFmtId="0" fontId="1" fillId="3" borderId="1" xfId="0" applyFont="1" applyFill="1" applyBorder="1" applyAlignment="1">
      <alignment horizontal="center"/>
    </xf>
    <xf numFmtId="0" fontId="1" fillId="3" borderId="1" xfId="0" applyFont="1" applyFill="1" applyBorder="1" applyAlignment="1">
      <alignment horizontal="center"/>
    </xf>
    <xf numFmtId="0" fontId="0" fillId="5" borderId="0" xfId="0" applyFill="1"/>
  </cellXfs>
  <cellStyles count="1">
    <cellStyle name="Normal" xfId="0" builtinId="0"/>
  </cellStyles>
  <dxfs count="3">
    <dxf>
      <fill>
        <patternFill patternType="solid">
          <fgColor theme="0"/>
          <bgColor theme="0"/>
        </patternFill>
      </fill>
    </dxf>
    <dxf>
      <fill>
        <patternFill patternType="solid">
          <fgColor rgb="FFE2EFD9"/>
          <bgColor rgb="FFE2EFD9"/>
        </patternFill>
      </fill>
    </dxf>
    <dxf>
      <fill>
        <patternFill patternType="solid">
          <fgColor theme="9"/>
          <bgColor theme="9"/>
        </patternFill>
      </fill>
    </dxf>
  </dxfs>
  <tableStyles count="1">
    <tableStyle name="Table1_2-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9.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0.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2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n-IN" sz="1600" b="1" i="0">
                <a:solidFill>
                  <a:srgbClr val="757575"/>
                </a:solidFill>
                <a:latin typeface="+mn-lt"/>
              </a:rPr>
              <a:t>1. Price by Area Type</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Sheet1!$A$4:$A$7</c:f>
              <c:strCache>
                <c:ptCount val="4"/>
                <c:pt idx="0">
                  <c:v>Large</c:v>
                </c:pt>
                <c:pt idx="1">
                  <c:v>Medium</c:v>
                </c:pt>
                <c:pt idx="2">
                  <c:v>Small</c:v>
                </c:pt>
                <c:pt idx="3">
                  <c:v>Grand Total</c:v>
                </c:pt>
              </c:strCache>
            </c:strRef>
          </c:cat>
          <c:val>
            <c:numRef>
              <c:f>Sheet1!$B$4:$B$7</c:f>
              <c:numCache>
                <c:formatCode>General</c:formatCode>
                <c:ptCount val="4"/>
                <c:pt idx="0">
                  <c:v>124580000</c:v>
                </c:pt>
                <c:pt idx="1">
                  <c:v>344673950</c:v>
                </c:pt>
                <c:pt idx="2">
                  <c:v>6890000</c:v>
                </c:pt>
                <c:pt idx="3">
                  <c:v>476143950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108-4267-A3E4-6B80AFA16631}"/>
            </c:ext>
          </c:extLst>
        </c:ser>
        <c:dLbls>
          <c:showLegendKey val="0"/>
          <c:showVal val="0"/>
          <c:showCatName val="0"/>
          <c:showSerName val="0"/>
          <c:showPercent val="0"/>
          <c:showBubbleSize val="0"/>
        </c:dLbls>
        <c:gapWidth val="150"/>
        <c:axId val="1042721432"/>
        <c:axId val="487093102"/>
      </c:barChart>
      <c:catAx>
        <c:axId val="1042721432"/>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487093102"/>
        <c:crosses val="autoZero"/>
        <c:auto val="1"/>
        <c:lblAlgn val="ctr"/>
        <c:lblOffset val="100"/>
        <c:noMultiLvlLbl val="1"/>
      </c:catAx>
      <c:valAx>
        <c:axId val="48709310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042721432"/>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lt1"/>
                </a:solidFill>
                <a:latin typeface="+mn-lt"/>
              </a:defRPr>
            </a:pPr>
            <a:r>
              <a:rPr lang="en-IN" sz="1600" b="1" i="0">
                <a:solidFill>
                  <a:schemeClr val="lt1"/>
                </a:solidFill>
                <a:latin typeface="+mn-lt"/>
              </a:rPr>
              <a:t>Price by SIZE_ROOM</a:t>
            </a:r>
          </a:p>
        </c:rich>
      </c:tx>
      <c:layout>
        <c:manualLayout>
          <c:xMode val="edge"/>
          <c:yMode val="edge"/>
          <c:x val="0.32266666666666666"/>
          <c:y val="9.1571886847477399E-2"/>
        </c:manualLayout>
      </c:layout>
      <c:overlay val="0"/>
    </c:title>
    <c:autoTitleDeleted val="0"/>
    <c:plotArea>
      <c:layout/>
      <c:barChart>
        <c:barDir val="bar"/>
        <c:grouping val="stack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Sheet1!$A$15:$A$16</c:f>
              <c:strCache>
                <c:ptCount val="2"/>
                <c:pt idx="0">
                  <c:v>3 </c:v>
                </c:pt>
                <c:pt idx="1">
                  <c:v>Grand Total</c:v>
                </c:pt>
              </c:strCache>
            </c:strRef>
          </c:cat>
          <c:val>
            <c:numRef>
              <c:f>Sheet1!$B$15:$B$16</c:f>
              <c:numCache>
                <c:formatCode>General</c:formatCode>
                <c:ptCount val="2"/>
                <c:pt idx="0">
                  <c:v>476143950</c:v>
                </c:pt>
                <c:pt idx="1">
                  <c:v>476143950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267-49C4-A66C-D5EFAFB27283}"/>
            </c:ext>
          </c:extLst>
        </c:ser>
        <c:dLbls>
          <c:showLegendKey val="0"/>
          <c:showVal val="0"/>
          <c:showCatName val="0"/>
          <c:showSerName val="0"/>
          <c:showPercent val="0"/>
          <c:showBubbleSize val="0"/>
        </c:dLbls>
        <c:gapWidth val="150"/>
        <c:overlap val="100"/>
        <c:axId val="1375360355"/>
        <c:axId val="846746570"/>
      </c:barChart>
      <c:catAx>
        <c:axId val="1375360355"/>
        <c:scaling>
          <c:orientation val="maxMin"/>
        </c:scaling>
        <c:delete val="0"/>
        <c:axPos val="l"/>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846746570"/>
        <c:crosses val="autoZero"/>
        <c:auto val="1"/>
        <c:lblAlgn val="ctr"/>
        <c:lblOffset val="100"/>
        <c:noMultiLvlLbl val="1"/>
      </c:catAx>
      <c:valAx>
        <c:axId val="846746570"/>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1375360355"/>
        <c:crosses val="max"/>
        <c:crossBetween val="between"/>
      </c:valAx>
    </c:plotArea>
    <c:legend>
      <c:legendPos val="r"/>
      <c:overlay val="0"/>
      <c:txPr>
        <a:bodyPr/>
        <a:lstStyle/>
        <a:p>
          <a:pPr lvl="0">
            <a:defRPr sz="900" b="0" i="0">
              <a:solidFill>
                <a:schemeClr val="lt1"/>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lt1"/>
                </a:solidFill>
                <a:latin typeface="+mn-lt"/>
              </a:defRPr>
            </a:pPr>
            <a:r>
              <a:rPr lang="en-IN" sz="1600" b="1" i="0">
                <a:solidFill>
                  <a:schemeClr val="lt1"/>
                </a:solidFill>
                <a:latin typeface="+mn-lt"/>
              </a:rPr>
              <a:t>Price by Location</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trendline>
            <c:name>Linear (Total)</c:name>
            <c:spPr>
              <a:ln w="19050">
                <a:solidFill>
                  <a:srgbClr val="000000">
                    <a:alpha val="0"/>
                  </a:srgbClr>
                </a:solidFill>
              </a:ln>
            </c:spPr>
            <c:trendlineType val="linear"/>
            <c:dispRSqr val="0"/>
            <c:dispEq val="0"/>
          </c:trendline>
          <c:cat>
            <c:strRef>
              <c:f>Sheet1!$A$35:$A$270</c:f>
              <c:strCache>
                <c:ptCount val="236"/>
                <c:pt idx="0">
                  <c:v>1st Block Jayanagar</c:v>
                </c:pt>
                <c:pt idx="1">
                  <c:v>2nd Block Hrbr Layout</c:v>
                </c:pt>
                <c:pt idx="2">
                  <c:v>2nd Phase JP Nagar</c:v>
                </c:pt>
                <c:pt idx="3">
                  <c:v>6th block banashankari 3rd stage, 100 feet ORR</c:v>
                </c:pt>
                <c:pt idx="4">
                  <c:v>7th Phase JP Nagar</c:v>
                </c:pt>
                <c:pt idx="5">
                  <c:v>8th block Koramangala</c:v>
                </c:pt>
                <c:pt idx="6">
                  <c:v>8th Phase JP Nagar</c:v>
                </c:pt>
                <c:pt idx="7">
                  <c:v>AECS Layout</c:v>
                </c:pt>
                <c:pt idx="8">
                  <c:v>Akshaya Nagar</c:v>
                </c:pt>
                <c:pt idx="9">
                  <c:v>Ambalipura</c:v>
                </c:pt>
                <c:pt idx="10">
                  <c:v>Ambedkar Colony</c:v>
                </c:pt>
                <c:pt idx="11">
                  <c:v>Ambedkar Nagar</c:v>
                </c:pt>
                <c:pt idx="12">
                  <c:v>Amco Colony</c:v>
                </c:pt>
                <c:pt idx="13">
                  <c:v>Anjanapura</c:v>
                </c:pt>
                <c:pt idx="14">
                  <c:v>Ardendale</c:v>
                </c:pt>
                <c:pt idx="15">
                  <c:v>Arekere</c:v>
                </c:pt>
                <c:pt idx="16">
                  <c:v>Ashwath Nagar</c:v>
                </c:pt>
                <c:pt idx="17">
                  <c:v>Avalahalli</c:v>
                </c:pt>
                <c:pt idx="18">
                  <c:v>B Narayanapura</c:v>
                </c:pt>
                <c:pt idx="19">
                  <c:v>Babusapalaya</c:v>
                </c:pt>
                <c:pt idx="20">
                  <c:v>Balagere</c:v>
                </c:pt>
                <c:pt idx="21">
                  <c:v>Banashankari</c:v>
                </c:pt>
                <c:pt idx="22">
                  <c:v>Banashankari Stage III</c:v>
                </c:pt>
                <c:pt idx="23">
                  <c:v>Banashankari3rd stage bigbazar</c:v>
                </c:pt>
                <c:pt idx="24">
                  <c:v>Banjara Layout</c:v>
                </c:pt>
                <c:pt idx="25">
                  <c:v>Bannerghatta Road</c:v>
                </c:pt>
                <c:pt idx="26">
                  <c:v>Basavanagara</c:v>
                </c:pt>
                <c:pt idx="27">
                  <c:v>Basavanapura</c:v>
                </c:pt>
                <c:pt idx="28">
                  <c:v>Basavanna Nagar</c:v>
                </c:pt>
                <c:pt idx="29">
                  <c:v>Basaveshwara Nagar</c:v>
                </c:pt>
                <c:pt idx="30">
                  <c:v>Battarahalli</c:v>
                </c:pt>
                <c:pt idx="31">
                  <c:v>Begur Road</c:v>
                </c:pt>
                <c:pt idx="32">
                  <c:v>Bellandur</c:v>
                </c:pt>
                <c:pt idx="33">
                  <c:v>BEML Layout</c:v>
                </c:pt>
                <c:pt idx="34">
                  <c:v>Bendiganahalli</c:v>
                </c:pt>
                <c:pt idx="35">
                  <c:v>Bhoganhalli</c:v>
                </c:pt>
                <c:pt idx="36">
                  <c:v>Billekahalli</c:v>
                </c:pt>
                <c:pt idx="37">
                  <c:v>Binny Pete</c:v>
                </c:pt>
                <c:pt idx="38">
                  <c:v>Bisuvanahalli</c:v>
                </c:pt>
                <c:pt idx="39">
                  <c:v>Bommasandra</c:v>
                </c:pt>
                <c:pt idx="40">
                  <c:v>Bommasandra Industrial Area</c:v>
                </c:pt>
                <c:pt idx="41">
                  <c:v>Brookefield</c:v>
                </c:pt>
                <c:pt idx="42">
                  <c:v>Budigere</c:v>
                </c:pt>
                <c:pt idx="43">
                  <c:v>Bull Temple Road</c:v>
                </c:pt>
                <c:pt idx="44">
                  <c:v>Byatarayanapura</c:v>
                </c:pt>
                <c:pt idx="45">
                  <c:v>Canara Bank Layout</c:v>
                </c:pt>
                <c:pt idx="46">
                  <c:v>Chamrajpet</c:v>
                </c:pt>
                <c:pt idx="47">
                  <c:v>Chandapura</c:v>
                </c:pt>
                <c:pt idx="48">
                  <c:v>Chandra Layout</c:v>
                </c:pt>
                <c:pt idx="49">
                  <c:v>Channasandra</c:v>
                </c:pt>
                <c:pt idx="50">
                  <c:v>Chikkaballapur</c:v>
                </c:pt>
                <c:pt idx="51">
                  <c:v>Chikkalasandra</c:v>
                </c:pt>
                <c:pt idx="52">
                  <c:v>CHIKKATIRUPATHI</c:v>
                </c:pt>
                <c:pt idx="53">
                  <c:v>Cholanayakanahalli</c:v>
                </c:pt>
                <c:pt idx="54">
                  <c:v>Coffee Board Layout</c:v>
                </c:pt>
                <c:pt idx="55">
                  <c:v>Cox Town</c:v>
                </c:pt>
                <c:pt idx="56">
                  <c:v>CV Raman Nagar</c:v>
                </c:pt>
                <c:pt idx="57">
                  <c:v>Dairy Circle</c:v>
                </c:pt>
                <c:pt idx="58">
                  <c:v>Dasarahalli</c:v>
                </c:pt>
                <c:pt idx="59">
                  <c:v>Devanahalli</c:v>
                </c:pt>
                <c:pt idx="60">
                  <c:v>Devarachikkanahalli</c:v>
                </c:pt>
                <c:pt idx="61">
                  <c:v>Divya Unnathi Layout</c:v>
                </c:pt>
                <c:pt idx="62">
                  <c:v>Dodda Kempaiah Layout</c:v>
                </c:pt>
                <c:pt idx="63">
                  <c:v>Doddagubbi</c:v>
                </c:pt>
                <c:pt idx="64">
                  <c:v>Domlur</c:v>
                </c:pt>
                <c:pt idx="65">
                  <c:v>Dommasandra</c:v>
                </c:pt>
                <c:pt idx="66">
                  <c:v>Dooravani Nagar</c:v>
                </c:pt>
                <c:pt idx="67">
                  <c:v>Double Road</c:v>
                </c:pt>
                <c:pt idx="68">
                  <c:v>Dr Shivarama Karantha Nagar</c:v>
                </c:pt>
                <c:pt idx="69">
                  <c:v>Electronic City</c:v>
                </c:pt>
                <c:pt idx="70">
                  <c:v>Electronic City Phase II</c:v>
                </c:pt>
                <c:pt idx="71">
                  <c:v>Electronics City Phase 1</c:v>
                </c:pt>
                <c:pt idx="72">
                  <c:v>EPIP Zone</c:v>
                </c:pt>
                <c:pt idx="73">
                  <c:v>FARLAHM</c:v>
                </c:pt>
                <c:pt idx="74">
                  <c:v>Garudachar Palya</c:v>
                </c:pt>
                <c:pt idx="75">
                  <c:v>GM Palaya</c:v>
                </c:pt>
                <c:pt idx="76">
                  <c:v>Gopalapura</c:v>
                </c:pt>
                <c:pt idx="77">
                  <c:v>Gopalkrishna Nagar</c:v>
                </c:pt>
                <c:pt idx="78">
                  <c:v>Gottigere</c:v>
                </c:pt>
                <c:pt idx="79">
                  <c:v>Green Glen Layout</c:v>
                </c:pt>
                <c:pt idx="80">
                  <c:v>Gubbalala</c:v>
                </c:pt>
                <c:pt idx="81">
                  <c:v>Gunjur</c:v>
                </c:pt>
                <c:pt idx="82">
                  <c:v>Haralur Road</c:v>
                </c:pt>
                <c:pt idx="83">
                  <c:v>Harlur</c:v>
                </c:pt>
                <c:pt idx="84">
                  <c:v>Hebbal</c:v>
                </c:pt>
                <c:pt idx="85">
                  <c:v>Hebbal Kempapura</c:v>
                </c:pt>
                <c:pt idx="86">
                  <c:v>Hegde Nagar</c:v>
                </c:pt>
                <c:pt idx="87">
                  <c:v>Hennur Road</c:v>
                </c:pt>
                <c:pt idx="88">
                  <c:v>Herohalli</c:v>
                </c:pt>
                <c:pt idx="89">
                  <c:v>Hoodi</c:v>
                </c:pt>
                <c:pt idx="90">
                  <c:v>Hoodi Circle, </c:v>
                </c:pt>
                <c:pt idx="91">
                  <c:v>Horamavu Agara</c:v>
                </c:pt>
                <c:pt idx="92">
                  <c:v>Horamavu Banaswadi</c:v>
                </c:pt>
                <c:pt idx="93">
                  <c:v>Hosa Road</c:v>
                </c:pt>
                <c:pt idx="94">
                  <c:v>Hosahalli</c:v>
                </c:pt>
                <c:pt idx="95">
                  <c:v>Hosakerehalli</c:v>
                </c:pt>
                <c:pt idx="96">
                  <c:v>Hosur Road</c:v>
                </c:pt>
                <c:pt idx="97">
                  <c:v>Hoysalanagar</c:v>
                </c:pt>
                <c:pt idx="98">
                  <c:v>HSR Layout</c:v>
                </c:pt>
                <c:pt idx="99">
                  <c:v>Hulimavu</c:v>
                </c:pt>
                <c:pt idx="100">
                  <c:v>Huskur</c:v>
                </c:pt>
                <c:pt idx="101">
                  <c:v>Iblur Village</c:v>
                </c:pt>
                <c:pt idx="102">
                  <c:v>ITI Layout</c:v>
                </c:pt>
                <c:pt idx="103">
                  <c:v>ITPL</c:v>
                </c:pt>
                <c:pt idx="104">
                  <c:v>Jai Bheema Nagar</c:v>
                </c:pt>
                <c:pt idx="105">
                  <c:v>Jakkur</c:v>
                </c:pt>
                <c:pt idx="106">
                  <c:v>Jalahalli</c:v>
                </c:pt>
                <c:pt idx="107">
                  <c:v>Jalahalli East</c:v>
                </c:pt>
                <c:pt idx="108">
                  <c:v>Jaya Nagar East</c:v>
                </c:pt>
                <c:pt idx="109">
                  <c:v>Jigani</c:v>
                </c:pt>
                <c:pt idx="110">
                  <c:v>JP Nagar</c:v>
                </c:pt>
                <c:pt idx="111">
                  <c:v>K G Colony</c:v>
                </c:pt>
                <c:pt idx="112">
                  <c:v>Kadugodi</c:v>
                </c:pt>
                <c:pt idx="113">
                  <c:v>Kaggadasapura</c:v>
                </c:pt>
                <c:pt idx="114">
                  <c:v>Kaggalipura</c:v>
                </c:pt>
                <c:pt idx="115">
                  <c:v>Kalena Agrahara</c:v>
                </c:pt>
                <c:pt idx="116">
                  <c:v>Kalyan nagar</c:v>
                </c:pt>
                <c:pt idx="117">
                  <c:v>Kambipura</c:v>
                </c:pt>
                <c:pt idx="118">
                  <c:v>Kammasandra</c:v>
                </c:pt>
                <c:pt idx="119">
                  <c:v>Kanakapura</c:v>
                </c:pt>
                <c:pt idx="120">
                  <c:v>Kanakpura Road</c:v>
                </c:pt>
                <c:pt idx="121">
                  <c:v>Kariyammana Agrahara</c:v>
                </c:pt>
                <c:pt idx="122">
                  <c:v>Kasavanhalli</c:v>
                </c:pt>
                <c:pt idx="123">
                  <c:v>Kasturi Nagar</c:v>
                </c:pt>
                <c:pt idx="124">
                  <c:v>Kathriguppe</c:v>
                </c:pt>
                <c:pt idx="125">
                  <c:v>Kengeri</c:v>
                </c:pt>
                <c:pt idx="126">
                  <c:v>Kengeri Satellite Town</c:v>
                </c:pt>
                <c:pt idx="127">
                  <c:v>Keshava Nagar</c:v>
                </c:pt>
                <c:pt idx="128">
                  <c:v>Kodanda Reddy Layout</c:v>
                </c:pt>
                <c:pt idx="129">
                  <c:v>Kodbisanhalli</c:v>
                </c:pt>
                <c:pt idx="130">
                  <c:v>Kodichikkanahalli</c:v>
                </c:pt>
                <c:pt idx="131">
                  <c:v>Kodigehaali</c:v>
                </c:pt>
                <c:pt idx="132">
                  <c:v>Kogilu</c:v>
                </c:pt>
                <c:pt idx="133">
                  <c:v>Konanakunte</c:v>
                </c:pt>
                <c:pt idx="134">
                  <c:v>Koramangala</c:v>
                </c:pt>
                <c:pt idx="135">
                  <c:v>Kothannur</c:v>
                </c:pt>
                <c:pt idx="136">
                  <c:v>Kothanur</c:v>
                </c:pt>
                <c:pt idx="137">
                  <c:v>Kudlu Gate</c:v>
                </c:pt>
                <c:pt idx="138">
                  <c:v>KUDLU MAIN ROAD</c:v>
                </c:pt>
                <c:pt idx="139">
                  <c:v>Kundalahalli</c:v>
                </c:pt>
                <c:pt idx="140">
                  <c:v>Lakshmiamma Garden</c:v>
                </c:pt>
                <c:pt idx="141">
                  <c:v>Lakshminarayana Pura</c:v>
                </c:pt>
                <c:pt idx="142">
                  <c:v>Langford Town</c:v>
                </c:pt>
                <c:pt idx="143">
                  <c:v>LB Shastri Nagar</c:v>
                </c:pt>
                <c:pt idx="144">
                  <c:v>Lingadheeranahalli</c:v>
                </c:pt>
                <c:pt idx="145">
                  <c:v>Magadi Road</c:v>
                </c:pt>
                <c:pt idx="146">
                  <c:v>Mahadevpura</c:v>
                </c:pt>
                <c:pt idx="147">
                  <c:v>Mallasandra</c:v>
                </c:pt>
                <c:pt idx="148">
                  <c:v>Malleshwaram</c:v>
                </c:pt>
                <c:pt idx="149">
                  <c:v>Manayata Tech Park</c:v>
                </c:pt>
                <c:pt idx="150">
                  <c:v>Mangammanapalya</c:v>
                </c:pt>
                <c:pt idx="151">
                  <c:v>Mango Garden Layout</c:v>
                </c:pt>
                <c:pt idx="152">
                  <c:v>manyata park</c:v>
                </c:pt>
                <c:pt idx="153">
                  <c:v>Maragondanahalli</c:v>
                </c:pt>
                <c:pt idx="154">
                  <c:v>Marathahalli</c:v>
                </c:pt>
                <c:pt idx="155">
                  <c:v>Marathalli bridge</c:v>
                </c:pt>
                <c:pt idx="156">
                  <c:v>Meenakunte</c:v>
                </c:pt>
                <c:pt idx="157">
                  <c:v>MS Pallya</c:v>
                </c:pt>
                <c:pt idx="158">
                  <c:v>Muthurayya Swamy Layout</c:v>
                </c:pt>
                <c:pt idx="159">
                  <c:v>Mysore Highway</c:v>
                </c:pt>
                <c:pt idx="160">
                  <c:v>Mysore Road</c:v>
                </c:pt>
                <c:pt idx="161">
                  <c:v>Nagarbhavi</c:v>
                </c:pt>
                <c:pt idx="162">
                  <c:v>Nagondanahalli</c:v>
                </c:pt>
                <c:pt idx="163">
                  <c:v>Narayanapura</c:v>
                </c:pt>
                <c:pt idx="164">
                  <c:v>Ngef Layout</c:v>
                </c:pt>
                <c:pt idx="165">
                  <c:v>NRI Layout</c:v>
                </c:pt>
                <c:pt idx="166">
                  <c:v>Off Sarjapur Road, </c:v>
                </c:pt>
                <c:pt idx="167">
                  <c:v>Old Airport Road</c:v>
                </c:pt>
                <c:pt idx="168">
                  <c:v>Old Madras Road</c:v>
                </c:pt>
                <c:pt idx="169">
                  <c:v>OMBR Layout</c:v>
                </c:pt>
                <c:pt idx="170">
                  <c:v>Panathur</c:v>
                </c:pt>
                <c:pt idx="171">
                  <c:v>Pattandur Agrahara</c:v>
                </c:pt>
                <c:pt idx="172">
                  <c:v>Peenya</c:v>
                </c:pt>
                <c:pt idx="173">
                  <c:v>Prashanth Nagar</c:v>
                </c:pt>
                <c:pt idx="174">
                  <c:v>Rachenahalli</c:v>
                </c:pt>
                <c:pt idx="175">
                  <c:v>Raja Rajeshwari Nagar</c:v>
                </c:pt>
                <c:pt idx="176">
                  <c:v>Rajaji Nagar</c:v>
                </c:pt>
                <c:pt idx="177">
                  <c:v>Rajiv Nagar</c:v>
                </c:pt>
                <c:pt idx="178">
                  <c:v>Ramakrishnappa Layout</c:v>
                </c:pt>
                <c:pt idx="179">
                  <c:v>Ramanjaneyanagar</c:v>
                </c:pt>
                <c:pt idx="180">
                  <c:v>Rayasandra</c:v>
                </c:pt>
                <c:pt idx="181">
                  <c:v>Richmond Town</c:v>
                </c:pt>
                <c:pt idx="182">
                  <c:v>RMV</c:v>
                </c:pt>
                <c:pt idx="183">
                  <c:v>RMV Extension</c:v>
                </c:pt>
                <c:pt idx="184">
                  <c:v>RWF West Colony</c:v>
                </c:pt>
                <c:pt idx="185">
                  <c:v>Sadashiva Nagar</c:v>
                </c:pt>
                <c:pt idx="186">
                  <c:v>Sahakara Nagar</c:v>
                </c:pt>
                <c:pt idx="187">
                  <c:v>Sampigehalli</c:v>
                </c:pt>
                <c:pt idx="188">
                  <c:v>Sanjeevini Nagar</c:v>
                </c:pt>
                <c:pt idx="189">
                  <c:v>Sarjapur</c:v>
                </c:pt>
                <c:pt idx="190">
                  <c:v>Sarjapur  Road</c:v>
                </c:pt>
                <c:pt idx="191">
                  <c:v>Sarjapura - Attibele Road</c:v>
                </c:pt>
                <c:pt idx="192">
                  <c:v>Seegehalli</c:v>
                </c:pt>
                <c:pt idx="193">
                  <c:v>Shantiniketan Layout</c:v>
                </c:pt>
                <c:pt idx="194">
                  <c:v>Silk Board</c:v>
                </c:pt>
                <c:pt idx="195">
                  <c:v>Silver Springs Layout</c:v>
                </c:pt>
                <c:pt idx="196">
                  <c:v>Singasandra</c:v>
                </c:pt>
                <c:pt idx="197">
                  <c:v>Singena Agrahara</c:v>
                </c:pt>
                <c:pt idx="198">
                  <c:v>Somasundara Palya</c:v>
                </c:pt>
                <c:pt idx="199">
                  <c:v>Sompura</c:v>
                </c:pt>
                <c:pt idx="200">
                  <c:v>Srinivasa Nagar</c:v>
                </c:pt>
                <c:pt idx="201">
                  <c:v>Suddaguntepalya</c:v>
                </c:pt>
                <c:pt idx="202">
                  <c:v>Sunder Ram Shetty Nagar</c:v>
                </c:pt>
                <c:pt idx="203">
                  <c:v>Surabhi Layout</c:v>
                </c:pt>
                <c:pt idx="204">
                  <c:v>Suragajakkanahalli</c:v>
                </c:pt>
                <c:pt idx="205">
                  <c:v>Suraksha Nagar</c:v>
                </c:pt>
                <c:pt idx="206">
                  <c:v>T Dasarahalli</c:v>
                </c:pt>
                <c:pt idx="207">
                  <c:v>Tala Cauvery Layout</c:v>
                </c:pt>
                <c:pt idx="208">
                  <c:v>Talaghattapura</c:v>
                </c:pt>
                <c:pt idx="209">
                  <c:v>TC Palaya</c:v>
                </c:pt>
                <c:pt idx="210">
                  <c:v>Teachers Colony</c:v>
                </c:pt>
                <c:pt idx="211">
                  <c:v>Tejaswini Nagar</c:v>
                </c:pt>
                <c:pt idx="212">
                  <c:v>Thanisandra</c:v>
                </c:pt>
                <c:pt idx="213">
                  <c:v>Tharabanahalli</c:v>
                </c:pt>
                <c:pt idx="214">
                  <c:v>Thigalarapalya</c:v>
                </c:pt>
                <c:pt idx="215">
                  <c:v>Tindlu</c:v>
                </c:pt>
                <c:pt idx="216">
                  <c:v>Tumkur Road</c:v>
                </c:pt>
                <c:pt idx="217">
                  <c:v>Udayapur Village</c:v>
                </c:pt>
                <c:pt idx="218">
                  <c:v>Ulsoor</c:v>
                </c:pt>
                <c:pt idx="219">
                  <c:v>unkonwn</c:v>
                </c:pt>
                <c:pt idx="220">
                  <c:v>Uttarahalli</c:v>
                </c:pt>
                <c:pt idx="221">
                  <c:v>Vadarpalya</c:v>
                </c:pt>
                <c:pt idx="222">
                  <c:v>Varthur</c:v>
                </c:pt>
                <c:pt idx="223">
                  <c:v>Vasanth nagar</c:v>
                </c:pt>
                <c:pt idx="224">
                  <c:v>Vasantha Vallabha Nagar</c:v>
                </c:pt>
                <c:pt idx="225">
                  <c:v>Vasanthapura</c:v>
                </c:pt>
                <c:pt idx="226">
                  <c:v>Vidyaranyapura</c:v>
                </c:pt>
                <c:pt idx="227">
                  <c:v>Vijayanagar</c:v>
                </c:pt>
                <c:pt idx="228">
                  <c:v>Whitefield</c:v>
                </c:pt>
                <c:pt idx="229">
                  <c:v>Williams Town</c:v>
                </c:pt>
                <c:pt idx="230">
                  <c:v>Yarandahalli</c:v>
                </c:pt>
                <c:pt idx="231">
                  <c:v>Yelachenahalli</c:v>
                </c:pt>
                <c:pt idx="232">
                  <c:v>Yelahanka</c:v>
                </c:pt>
                <c:pt idx="233">
                  <c:v>Yemlur, Old Airport Road, </c:v>
                </c:pt>
                <c:pt idx="234">
                  <c:v>Yeshwanthpur</c:v>
                </c:pt>
                <c:pt idx="235">
                  <c:v>Grand Total</c:v>
                </c:pt>
              </c:strCache>
            </c:strRef>
          </c:cat>
          <c:val>
            <c:numRef>
              <c:f>Sheet1!$B$35:$B$270</c:f>
              <c:numCache>
                <c:formatCode>General</c:formatCode>
                <c:ptCount val="236"/>
                <c:pt idx="0">
                  <c:v>1940000</c:v>
                </c:pt>
                <c:pt idx="1">
                  <c:v>900000</c:v>
                </c:pt>
                <c:pt idx="2">
                  <c:v>4990000</c:v>
                </c:pt>
                <c:pt idx="3">
                  <c:v>6600000</c:v>
                </c:pt>
                <c:pt idx="4">
                  <c:v>9910000</c:v>
                </c:pt>
                <c:pt idx="5">
                  <c:v>3000000</c:v>
                </c:pt>
                <c:pt idx="6">
                  <c:v>435000</c:v>
                </c:pt>
                <c:pt idx="7">
                  <c:v>980000</c:v>
                </c:pt>
                <c:pt idx="8">
                  <c:v>5201000</c:v>
                </c:pt>
                <c:pt idx="9">
                  <c:v>2850000</c:v>
                </c:pt>
                <c:pt idx="10">
                  <c:v>1650000</c:v>
                </c:pt>
                <c:pt idx="11">
                  <c:v>1300000</c:v>
                </c:pt>
                <c:pt idx="12">
                  <c:v>880000</c:v>
                </c:pt>
                <c:pt idx="13">
                  <c:v>1390000</c:v>
                </c:pt>
                <c:pt idx="14">
                  <c:v>1000000</c:v>
                </c:pt>
                <c:pt idx="15">
                  <c:v>2350000</c:v>
                </c:pt>
                <c:pt idx="16">
                  <c:v>840000</c:v>
                </c:pt>
                <c:pt idx="17">
                  <c:v>1200000</c:v>
                </c:pt>
                <c:pt idx="18">
                  <c:v>985000</c:v>
                </c:pt>
                <c:pt idx="19">
                  <c:v>434000</c:v>
                </c:pt>
                <c:pt idx="20">
                  <c:v>790000</c:v>
                </c:pt>
                <c:pt idx="21">
                  <c:v>2056400</c:v>
                </c:pt>
                <c:pt idx="22">
                  <c:v>587000</c:v>
                </c:pt>
                <c:pt idx="23">
                  <c:v>1250000</c:v>
                </c:pt>
                <c:pt idx="24">
                  <c:v>580000</c:v>
                </c:pt>
                <c:pt idx="25">
                  <c:v>4826300</c:v>
                </c:pt>
                <c:pt idx="26">
                  <c:v>800000</c:v>
                </c:pt>
                <c:pt idx="27">
                  <c:v>467400</c:v>
                </c:pt>
                <c:pt idx="28">
                  <c:v>950000</c:v>
                </c:pt>
                <c:pt idx="29">
                  <c:v>1450000</c:v>
                </c:pt>
                <c:pt idx="30">
                  <c:v>1870300</c:v>
                </c:pt>
                <c:pt idx="31">
                  <c:v>1787600</c:v>
                </c:pt>
                <c:pt idx="32">
                  <c:v>1030000</c:v>
                </c:pt>
                <c:pt idx="33">
                  <c:v>850000</c:v>
                </c:pt>
                <c:pt idx="34">
                  <c:v>950000</c:v>
                </c:pt>
                <c:pt idx="35">
                  <c:v>990000</c:v>
                </c:pt>
                <c:pt idx="36">
                  <c:v>1100000</c:v>
                </c:pt>
                <c:pt idx="37">
                  <c:v>1220000</c:v>
                </c:pt>
                <c:pt idx="38">
                  <c:v>2830000</c:v>
                </c:pt>
                <c:pt idx="39">
                  <c:v>953600</c:v>
                </c:pt>
                <c:pt idx="40">
                  <c:v>504000</c:v>
                </c:pt>
                <c:pt idx="41">
                  <c:v>3230000</c:v>
                </c:pt>
                <c:pt idx="42">
                  <c:v>1030000</c:v>
                </c:pt>
                <c:pt idx="43">
                  <c:v>1400000</c:v>
                </c:pt>
                <c:pt idx="44">
                  <c:v>1650000</c:v>
                </c:pt>
                <c:pt idx="45">
                  <c:v>900000</c:v>
                </c:pt>
                <c:pt idx="46">
                  <c:v>1200000</c:v>
                </c:pt>
                <c:pt idx="47">
                  <c:v>1086300</c:v>
                </c:pt>
                <c:pt idx="48">
                  <c:v>850500</c:v>
                </c:pt>
                <c:pt idx="49">
                  <c:v>483300</c:v>
                </c:pt>
                <c:pt idx="50">
                  <c:v>1000000</c:v>
                </c:pt>
                <c:pt idx="51">
                  <c:v>561200</c:v>
                </c:pt>
                <c:pt idx="52">
                  <c:v>1000000</c:v>
                </c:pt>
                <c:pt idx="53">
                  <c:v>2050000</c:v>
                </c:pt>
                <c:pt idx="54">
                  <c:v>1700000</c:v>
                </c:pt>
                <c:pt idx="55">
                  <c:v>1500000</c:v>
                </c:pt>
                <c:pt idx="56">
                  <c:v>650000</c:v>
                </c:pt>
                <c:pt idx="57">
                  <c:v>2250000</c:v>
                </c:pt>
                <c:pt idx="58">
                  <c:v>750000</c:v>
                </c:pt>
                <c:pt idx="59">
                  <c:v>1433400</c:v>
                </c:pt>
                <c:pt idx="60">
                  <c:v>440000</c:v>
                </c:pt>
                <c:pt idx="61">
                  <c:v>644400</c:v>
                </c:pt>
                <c:pt idx="62">
                  <c:v>750000</c:v>
                </c:pt>
                <c:pt idx="63">
                  <c:v>700000</c:v>
                </c:pt>
                <c:pt idx="64">
                  <c:v>900000</c:v>
                </c:pt>
                <c:pt idx="65">
                  <c:v>255300</c:v>
                </c:pt>
                <c:pt idx="66">
                  <c:v>1800000</c:v>
                </c:pt>
                <c:pt idx="67">
                  <c:v>1000000</c:v>
                </c:pt>
                <c:pt idx="68">
                  <c:v>650000</c:v>
                </c:pt>
                <c:pt idx="69">
                  <c:v>8955300</c:v>
                </c:pt>
                <c:pt idx="70">
                  <c:v>756600</c:v>
                </c:pt>
                <c:pt idx="71">
                  <c:v>2410900</c:v>
                </c:pt>
                <c:pt idx="72">
                  <c:v>2640000</c:v>
                </c:pt>
                <c:pt idx="73">
                  <c:v>3920000</c:v>
                </c:pt>
                <c:pt idx="74">
                  <c:v>608000</c:v>
                </c:pt>
                <c:pt idx="75">
                  <c:v>860000</c:v>
                </c:pt>
                <c:pt idx="76">
                  <c:v>2750000</c:v>
                </c:pt>
                <c:pt idx="77">
                  <c:v>620000</c:v>
                </c:pt>
                <c:pt idx="78">
                  <c:v>825000</c:v>
                </c:pt>
                <c:pt idx="79">
                  <c:v>1250000</c:v>
                </c:pt>
                <c:pt idx="80">
                  <c:v>820000</c:v>
                </c:pt>
                <c:pt idx="81">
                  <c:v>660000</c:v>
                </c:pt>
                <c:pt idx="82">
                  <c:v>4370000</c:v>
                </c:pt>
                <c:pt idx="83">
                  <c:v>4780000</c:v>
                </c:pt>
                <c:pt idx="84">
                  <c:v>12386800</c:v>
                </c:pt>
                <c:pt idx="85">
                  <c:v>3300000</c:v>
                </c:pt>
                <c:pt idx="86">
                  <c:v>4930000</c:v>
                </c:pt>
                <c:pt idx="87">
                  <c:v>8065800</c:v>
                </c:pt>
                <c:pt idx="88">
                  <c:v>700000</c:v>
                </c:pt>
                <c:pt idx="89">
                  <c:v>2737500</c:v>
                </c:pt>
                <c:pt idx="90">
                  <c:v>790000</c:v>
                </c:pt>
                <c:pt idx="91">
                  <c:v>1214800</c:v>
                </c:pt>
                <c:pt idx="92">
                  <c:v>1210000</c:v>
                </c:pt>
                <c:pt idx="93">
                  <c:v>1650000</c:v>
                </c:pt>
                <c:pt idx="94">
                  <c:v>700000</c:v>
                </c:pt>
                <c:pt idx="95">
                  <c:v>8440000</c:v>
                </c:pt>
                <c:pt idx="96">
                  <c:v>2130000</c:v>
                </c:pt>
                <c:pt idx="97">
                  <c:v>570000</c:v>
                </c:pt>
                <c:pt idx="98">
                  <c:v>1960000</c:v>
                </c:pt>
                <c:pt idx="99">
                  <c:v>1780000</c:v>
                </c:pt>
                <c:pt idx="100">
                  <c:v>352300</c:v>
                </c:pt>
                <c:pt idx="101">
                  <c:v>2350000</c:v>
                </c:pt>
                <c:pt idx="102">
                  <c:v>750000</c:v>
                </c:pt>
                <c:pt idx="103">
                  <c:v>2140200</c:v>
                </c:pt>
                <c:pt idx="104">
                  <c:v>700000</c:v>
                </c:pt>
                <c:pt idx="105">
                  <c:v>3185100</c:v>
                </c:pt>
                <c:pt idx="106">
                  <c:v>2370000</c:v>
                </c:pt>
                <c:pt idx="107">
                  <c:v>600000</c:v>
                </c:pt>
                <c:pt idx="108">
                  <c:v>3500000</c:v>
                </c:pt>
                <c:pt idx="109">
                  <c:v>550000</c:v>
                </c:pt>
                <c:pt idx="110">
                  <c:v>1500000</c:v>
                </c:pt>
                <c:pt idx="111">
                  <c:v>500000</c:v>
                </c:pt>
                <c:pt idx="112">
                  <c:v>2104500</c:v>
                </c:pt>
                <c:pt idx="113">
                  <c:v>1393000</c:v>
                </c:pt>
                <c:pt idx="114">
                  <c:v>550000</c:v>
                </c:pt>
                <c:pt idx="115">
                  <c:v>2750000</c:v>
                </c:pt>
                <c:pt idx="116">
                  <c:v>750000</c:v>
                </c:pt>
                <c:pt idx="117">
                  <c:v>1135000</c:v>
                </c:pt>
                <c:pt idx="118">
                  <c:v>650000</c:v>
                </c:pt>
                <c:pt idx="119">
                  <c:v>750000</c:v>
                </c:pt>
                <c:pt idx="120">
                  <c:v>6129200</c:v>
                </c:pt>
                <c:pt idx="121">
                  <c:v>900000</c:v>
                </c:pt>
                <c:pt idx="122">
                  <c:v>4443200</c:v>
                </c:pt>
                <c:pt idx="123">
                  <c:v>2050000</c:v>
                </c:pt>
                <c:pt idx="124">
                  <c:v>1457500</c:v>
                </c:pt>
                <c:pt idx="125">
                  <c:v>640000</c:v>
                </c:pt>
                <c:pt idx="126">
                  <c:v>660000</c:v>
                </c:pt>
                <c:pt idx="127">
                  <c:v>1500000</c:v>
                </c:pt>
                <c:pt idx="128">
                  <c:v>1050000</c:v>
                </c:pt>
                <c:pt idx="129">
                  <c:v>1840000</c:v>
                </c:pt>
                <c:pt idx="130">
                  <c:v>570000</c:v>
                </c:pt>
                <c:pt idx="131">
                  <c:v>650000</c:v>
                </c:pt>
                <c:pt idx="132">
                  <c:v>1619500</c:v>
                </c:pt>
                <c:pt idx="133">
                  <c:v>2960000</c:v>
                </c:pt>
                <c:pt idx="134">
                  <c:v>6550000</c:v>
                </c:pt>
                <c:pt idx="135">
                  <c:v>1770000</c:v>
                </c:pt>
                <c:pt idx="136">
                  <c:v>5110000</c:v>
                </c:pt>
                <c:pt idx="137">
                  <c:v>2460000</c:v>
                </c:pt>
                <c:pt idx="138">
                  <c:v>1020000</c:v>
                </c:pt>
                <c:pt idx="139">
                  <c:v>2300000</c:v>
                </c:pt>
                <c:pt idx="140">
                  <c:v>1200000</c:v>
                </c:pt>
                <c:pt idx="141">
                  <c:v>2580000</c:v>
                </c:pt>
                <c:pt idx="142">
                  <c:v>700000</c:v>
                </c:pt>
                <c:pt idx="143">
                  <c:v>650000</c:v>
                </c:pt>
                <c:pt idx="144">
                  <c:v>2990000</c:v>
                </c:pt>
                <c:pt idx="145">
                  <c:v>490000</c:v>
                </c:pt>
                <c:pt idx="146">
                  <c:v>780000</c:v>
                </c:pt>
                <c:pt idx="147">
                  <c:v>1815800</c:v>
                </c:pt>
                <c:pt idx="148">
                  <c:v>2970000</c:v>
                </c:pt>
                <c:pt idx="149">
                  <c:v>1700000</c:v>
                </c:pt>
                <c:pt idx="150">
                  <c:v>560000</c:v>
                </c:pt>
                <c:pt idx="151">
                  <c:v>1250000</c:v>
                </c:pt>
                <c:pt idx="152">
                  <c:v>848300</c:v>
                </c:pt>
                <c:pt idx="153">
                  <c:v>702500</c:v>
                </c:pt>
                <c:pt idx="154">
                  <c:v>5352500</c:v>
                </c:pt>
                <c:pt idx="155">
                  <c:v>1200000</c:v>
                </c:pt>
                <c:pt idx="156">
                  <c:v>2800000</c:v>
                </c:pt>
                <c:pt idx="157">
                  <c:v>2050000</c:v>
                </c:pt>
                <c:pt idx="158">
                  <c:v>2600000</c:v>
                </c:pt>
                <c:pt idx="159">
                  <c:v>700000</c:v>
                </c:pt>
                <c:pt idx="160">
                  <c:v>913100</c:v>
                </c:pt>
                <c:pt idx="161">
                  <c:v>2480000</c:v>
                </c:pt>
                <c:pt idx="162">
                  <c:v>660000</c:v>
                </c:pt>
                <c:pt idx="163">
                  <c:v>833000</c:v>
                </c:pt>
                <c:pt idx="164">
                  <c:v>780000</c:v>
                </c:pt>
                <c:pt idx="165">
                  <c:v>750000</c:v>
                </c:pt>
                <c:pt idx="166">
                  <c:v>890000</c:v>
                </c:pt>
                <c:pt idx="167">
                  <c:v>1100000</c:v>
                </c:pt>
                <c:pt idx="168">
                  <c:v>1485400</c:v>
                </c:pt>
                <c:pt idx="169">
                  <c:v>1850000</c:v>
                </c:pt>
                <c:pt idx="170">
                  <c:v>2628000</c:v>
                </c:pt>
                <c:pt idx="171">
                  <c:v>800000</c:v>
                </c:pt>
                <c:pt idx="172">
                  <c:v>1100000</c:v>
                </c:pt>
                <c:pt idx="173">
                  <c:v>1500000</c:v>
                </c:pt>
                <c:pt idx="174">
                  <c:v>745000</c:v>
                </c:pt>
                <c:pt idx="175">
                  <c:v>1711500</c:v>
                </c:pt>
                <c:pt idx="176">
                  <c:v>13840000</c:v>
                </c:pt>
                <c:pt idx="177">
                  <c:v>1600000</c:v>
                </c:pt>
                <c:pt idx="178">
                  <c:v>2900000</c:v>
                </c:pt>
                <c:pt idx="179">
                  <c:v>484800</c:v>
                </c:pt>
                <c:pt idx="180">
                  <c:v>630000</c:v>
                </c:pt>
                <c:pt idx="181">
                  <c:v>3750000</c:v>
                </c:pt>
                <c:pt idx="182">
                  <c:v>3650000</c:v>
                </c:pt>
                <c:pt idx="183">
                  <c:v>2600000</c:v>
                </c:pt>
                <c:pt idx="184">
                  <c:v>622800</c:v>
                </c:pt>
                <c:pt idx="185">
                  <c:v>6600000</c:v>
                </c:pt>
                <c:pt idx="186">
                  <c:v>2950000</c:v>
                </c:pt>
                <c:pt idx="187">
                  <c:v>750000</c:v>
                </c:pt>
                <c:pt idx="188">
                  <c:v>2350000</c:v>
                </c:pt>
                <c:pt idx="189">
                  <c:v>2650000</c:v>
                </c:pt>
                <c:pt idx="190">
                  <c:v>11976300</c:v>
                </c:pt>
                <c:pt idx="191">
                  <c:v>480000</c:v>
                </c:pt>
                <c:pt idx="192">
                  <c:v>429000</c:v>
                </c:pt>
                <c:pt idx="193">
                  <c:v>1080000</c:v>
                </c:pt>
                <c:pt idx="194">
                  <c:v>580000</c:v>
                </c:pt>
                <c:pt idx="195">
                  <c:v>620000</c:v>
                </c:pt>
                <c:pt idx="196">
                  <c:v>650000</c:v>
                </c:pt>
                <c:pt idx="197">
                  <c:v>1150000</c:v>
                </c:pt>
                <c:pt idx="198">
                  <c:v>640000</c:v>
                </c:pt>
                <c:pt idx="199">
                  <c:v>480000</c:v>
                </c:pt>
                <c:pt idx="200">
                  <c:v>783400</c:v>
                </c:pt>
                <c:pt idx="201">
                  <c:v>550000</c:v>
                </c:pt>
                <c:pt idx="202">
                  <c:v>1150000</c:v>
                </c:pt>
                <c:pt idx="203">
                  <c:v>2400000</c:v>
                </c:pt>
                <c:pt idx="204">
                  <c:v>740000</c:v>
                </c:pt>
                <c:pt idx="205">
                  <c:v>520000</c:v>
                </c:pt>
                <c:pt idx="206">
                  <c:v>900000</c:v>
                </c:pt>
                <c:pt idx="207">
                  <c:v>1000000</c:v>
                </c:pt>
                <c:pt idx="208">
                  <c:v>1310000</c:v>
                </c:pt>
                <c:pt idx="209">
                  <c:v>3700000</c:v>
                </c:pt>
                <c:pt idx="210">
                  <c:v>770000</c:v>
                </c:pt>
                <c:pt idx="211">
                  <c:v>750000</c:v>
                </c:pt>
                <c:pt idx="212">
                  <c:v>12231300</c:v>
                </c:pt>
                <c:pt idx="213">
                  <c:v>2400000</c:v>
                </c:pt>
                <c:pt idx="214">
                  <c:v>1420000</c:v>
                </c:pt>
                <c:pt idx="215">
                  <c:v>870000</c:v>
                </c:pt>
                <c:pt idx="216">
                  <c:v>2070000</c:v>
                </c:pt>
                <c:pt idx="217">
                  <c:v>682900</c:v>
                </c:pt>
                <c:pt idx="218">
                  <c:v>2150000</c:v>
                </c:pt>
                <c:pt idx="219">
                  <c:v>860000</c:v>
                </c:pt>
                <c:pt idx="220">
                  <c:v>4374300</c:v>
                </c:pt>
                <c:pt idx="221">
                  <c:v>850000</c:v>
                </c:pt>
                <c:pt idx="222">
                  <c:v>659900</c:v>
                </c:pt>
                <c:pt idx="223">
                  <c:v>1880000</c:v>
                </c:pt>
                <c:pt idx="224">
                  <c:v>950000</c:v>
                </c:pt>
                <c:pt idx="225">
                  <c:v>600000</c:v>
                </c:pt>
                <c:pt idx="226">
                  <c:v>670000</c:v>
                </c:pt>
                <c:pt idx="227">
                  <c:v>6695000</c:v>
                </c:pt>
                <c:pt idx="228">
                  <c:v>18527400</c:v>
                </c:pt>
                <c:pt idx="229">
                  <c:v>980000</c:v>
                </c:pt>
                <c:pt idx="230">
                  <c:v>480000</c:v>
                </c:pt>
                <c:pt idx="231">
                  <c:v>1600000</c:v>
                </c:pt>
                <c:pt idx="232">
                  <c:v>4679550</c:v>
                </c:pt>
                <c:pt idx="233">
                  <c:v>1150000</c:v>
                </c:pt>
                <c:pt idx="234">
                  <c:v>5570000</c:v>
                </c:pt>
                <c:pt idx="235">
                  <c:v>476143950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47B-4782-BB87-AADD43840BA0}"/>
            </c:ext>
          </c:extLst>
        </c:ser>
        <c:dLbls>
          <c:showLegendKey val="0"/>
          <c:showVal val="0"/>
          <c:showCatName val="0"/>
          <c:showSerName val="0"/>
          <c:showPercent val="0"/>
          <c:showBubbleSize val="0"/>
        </c:dLbls>
        <c:gapWidth val="150"/>
        <c:axId val="2125074047"/>
        <c:axId val="420027331"/>
      </c:barChart>
      <c:catAx>
        <c:axId val="2125074047"/>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420027331"/>
        <c:crosses val="autoZero"/>
        <c:auto val="1"/>
        <c:lblAlgn val="ctr"/>
        <c:lblOffset val="100"/>
        <c:noMultiLvlLbl val="1"/>
      </c:catAx>
      <c:valAx>
        <c:axId val="42002733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2125074047"/>
        <c:crosses val="autoZero"/>
        <c:crossBetween val="between"/>
      </c:valAx>
    </c:plotArea>
    <c:legend>
      <c:legendPos val="r"/>
      <c:overlay val="0"/>
      <c:txPr>
        <a:bodyPr/>
        <a:lstStyle/>
        <a:p>
          <a:pPr lvl="0">
            <a:defRPr sz="900" b="0" i="0">
              <a:solidFill>
                <a:schemeClr val="lt1"/>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lt1"/>
                </a:solidFill>
                <a:latin typeface="+mn-lt"/>
              </a:defRPr>
            </a:pPr>
            <a:r>
              <a:rPr lang="en-IN" sz="1600" b="1" i="0">
                <a:solidFill>
                  <a:schemeClr val="lt1"/>
                </a:solidFill>
                <a:latin typeface="+mn-lt"/>
              </a:rPr>
              <a:t>Price by Room &amp; Bath</a:t>
            </a:r>
          </a:p>
        </c:rich>
      </c:tx>
      <c:overlay val="0"/>
    </c:title>
    <c:autoTitleDeleted val="0"/>
    <c:plotArea>
      <c:layout/>
      <c:barChart>
        <c:barDir val="col"/>
        <c:grouping val="stacked"/>
        <c:varyColors val="1"/>
        <c:ser>
          <c:idx val="0"/>
          <c:order val="0"/>
          <c:tx>
            <c:v>2</c:v>
          </c:tx>
          <c:spPr>
            <a:solidFill>
              <a:srgbClr val="4472C4"/>
            </a:solidFill>
            <a:ln cmpd="sng">
              <a:solidFill>
                <a:srgbClr val="000000"/>
              </a:solidFill>
            </a:ln>
          </c:spPr>
          <c:invertIfNegative val="1"/>
          <c:cat>
            <c:strRef>
              <c:f>Sheet1!$A$987:$A$988</c:f>
              <c:strCache>
                <c:ptCount val="2"/>
                <c:pt idx="0">
                  <c:v>3 </c:v>
                </c:pt>
                <c:pt idx="1">
                  <c:v>Grand Total</c:v>
                </c:pt>
              </c:strCache>
            </c:strRef>
          </c:cat>
          <c:val>
            <c:numRef>
              <c:f>Sheet1!$B$987:$B$988</c:f>
              <c:numCache>
                <c:formatCode>General</c:formatCode>
                <c:ptCount val="2"/>
                <c:pt idx="0">
                  <c:v>100327500</c:v>
                </c:pt>
                <c:pt idx="1">
                  <c:v>100327500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18E-467C-9C43-CFCD11549F7F}"/>
            </c:ext>
          </c:extLst>
        </c:ser>
        <c:ser>
          <c:idx val="1"/>
          <c:order val="1"/>
          <c:tx>
            <c:v>3</c:v>
          </c:tx>
          <c:spPr>
            <a:solidFill>
              <a:srgbClr val="ED7D31"/>
            </a:solidFill>
            <a:ln cmpd="sng">
              <a:solidFill>
                <a:srgbClr val="000000"/>
              </a:solidFill>
            </a:ln>
          </c:spPr>
          <c:invertIfNegative val="1"/>
          <c:cat>
            <c:strRef>
              <c:f>Sheet1!$A$987:$A$988</c:f>
              <c:strCache>
                <c:ptCount val="2"/>
                <c:pt idx="0">
                  <c:v>3 </c:v>
                </c:pt>
                <c:pt idx="1">
                  <c:v>Grand Total</c:v>
                </c:pt>
              </c:strCache>
            </c:strRef>
          </c:cat>
          <c:val>
            <c:numRef>
              <c:f>Sheet1!$C$987:$C$988</c:f>
              <c:numCache>
                <c:formatCode>General</c:formatCode>
                <c:ptCount val="2"/>
                <c:pt idx="0">
                  <c:v>343263350</c:v>
                </c:pt>
                <c:pt idx="1">
                  <c:v>343263350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818E-467C-9C43-CFCD11549F7F}"/>
            </c:ext>
          </c:extLst>
        </c:ser>
        <c:ser>
          <c:idx val="2"/>
          <c:order val="2"/>
          <c:tx>
            <c:v>4</c:v>
          </c:tx>
          <c:spPr>
            <a:solidFill>
              <a:srgbClr val="A5A5A5"/>
            </a:solidFill>
            <a:ln cmpd="sng">
              <a:solidFill>
                <a:srgbClr val="000000"/>
              </a:solidFill>
            </a:ln>
          </c:spPr>
          <c:invertIfNegative val="1"/>
          <c:cat>
            <c:strRef>
              <c:f>Sheet1!$A$987:$A$988</c:f>
              <c:strCache>
                <c:ptCount val="2"/>
                <c:pt idx="0">
                  <c:v>3 </c:v>
                </c:pt>
                <c:pt idx="1">
                  <c:v>Grand Total</c:v>
                </c:pt>
              </c:strCache>
            </c:strRef>
          </c:cat>
          <c:val>
            <c:numRef>
              <c:f>Sheet1!$D$987:$D$988</c:f>
              <c:numCache>
                <c:formatCode>General</c:formatCode>
                <c:ptCount val="2"/>
                <c:pt idx="0">
                  <c:v>28933100</c:v>
                </c:pt>
                <c:pt idx="1">
                  <c:v>28933100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818E-467C-9C43-CFCD11549F7F}"/>
            </c:ext>
          </c:extLst>
        </c:ser>
        <c:ser>
          <c:idx val="3"/>
          <c:order val="3"/>
          <c:tx>
            <c:v>5</c:v>
          </c:tx>
          <c:spPr>
            <a:solidFill>
              <a:srgbClr val="FFC000"/>
            </a:solidFill>
            <a:ln cmpd="sng">
              <a:solidFill>
                <a:srgbClr val="000000"/>
              </a:solidFill>
            </a:ln>
          </c:spPr>
          <c:invertIfNegative val="1"/>
          <c:cat>
            <c:strRef>
              <c:f>Sheet1!$A$987:$A$988</c:f>
              <c:strCache>
                <c:ptCount val="2"/>
                <c:pt idx="0">
                  <c:v>3 </c:v>
                </c:pt>
                <c:pt idx="1">
                  <c:v>Grand Total</c:v>
                </c:pt>
              </c:strCache>
            </c:strRef>
          </c:cat>
          <c:val>
            <c:numRef>
              <c:f>Sheet1!$E$987:$E$988</c:f>
              <c:numCache>
                <c:formatCode>General</c:formatCode>
                <c:ptCount val="2"/>
                <c:pt idx="0">
                  <c:v>3620000</c:v>
                </c:pt>
                <c:pt idx="1">
                  <c:v>3620000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818E-467C-9C43-CFCD11549F7F}"/>
            </c:ext>
          </c:extLst>
        </c:ser>
        <c:dLbls>
          <c:showLegendKey val="0"/>
          <c:showVal val="0"/>
          <c:showCatName val="0"/>
          <c:showSerName val="0"/>
          <c:showPercent val="0"/>
          <c:showBubbleSize val="0"/>
        </c:dLbls>
        <c:gapWidth val="150"/>
        <c:overlap val="100"/>
        <c:axId val="2027465554"/>
        <c:axId val="1314124560"/>
      </c:barChart>
      <c:catAx>
        <c:axId val="2027465554"/>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1314124560"/>
        <c:crosses val="autoZero"/>
        <c:auto val="1"/>
        <c:lblAlgn val="ctr"/>
        <c:lblOffset val="100"/>
        <c:noMultiLvlLbl val="1"/>
      </c:catAx>
      <c:valAx>
        <c:axId val="131412456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2027465554"/>
        <c:crosses val="autoZero"/>
        <c:crossBetween val="between"/>
      </c:valAx>
    </c:plotArea>
    <c:legend>
      <c:legendPos val="r"/>
      <c:overlay val="0"/>
      <c:txPr>
        <a:bodyPr/>
        <a:lstStyle/>
        <a:p>
          <a:pPr lvl="0">
            <a:defRPr sz="900" b="0" i="0">
              <a:solidFill>
                <a:schemeClr val="lt1"/>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Location wise Average Price</a:t>
            </a:r>
          </a:p>
        </c:rich>
      </c:tx>
      <c:overlay val="0"/>
    </c:title>
    <c:autoTitleDeleted val="0"/>
    <c:plotArea>
      <c:layout/>
      <c:barChart>
        <c:barDir val="bar"/>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solidFill>
                      <a:srgbClr val="000000"/>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Sheet3!$A$4:$A$9</c:f>
              <c:strCache>
                <c:ptCount val="6"/>
                <c:pt idx="0">
                  <c:v>Binnamangala</c:v>
                </c:pt>
                <c:pt idx="1">
                  <c:v>Cunningham Road</c:v>
                </c:pt>
                <c:pt idx="2">
                  <c:v>Hunasamaranahalli</c:v>
                </c:pt>
                <c:pt idx="3">
                  <c:v>Sector 1 HSR Layout</c:v>
                </c:pt>
                <c:pt idx="4">
                  <c:v>Siddapura</c:v>
                </c:pt>
                <c:pt idx="5">
                  <c:v>Grand Total</c:v>
                </c:pt>
              </c:strCache>
            </c:strRef>
          </c:cat>
          <c:val>
            <c:numRef>
              <c:f>Sheet3!$B$4:$B$9</c:f>
              <c:numCache>
                <c:formatCode>General</c:formatCode>
                <c:ptCount val="6"/>
                <c:pt idx="0">
                  <c:v>9000000</c:v>
                </c:pt>
                <c:pt idx="1">
                  <c:v>12500000</c:v>
                </c:pt>
                <c:pt idx="2">
                  <c:v>6750000</c:v>
                </c:pt>
                <c:pt idx="3">
                  <c:v>7750000</c:v>
                </c:pt>
                <c:pt idx="4">
                  <c:v>8000000</c:v>
                </c:pt>
                <c:pt idx="5">
                  <c:v>8800000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903-4BCA-BD3E-BC5D281FDEB1}"/>
            </c:ext>
          </c:extLst>
        </c:ser>
        <c:dLbls>
          <c:showLegendKey val="0"/>
          <c:showVal val="0"/>
          <c:showCatName val="0"/>
          <c:showSerName val="0"/>
          <c:showPercent val="0"/>
          <c:showBubbleSize val="0"/>
        </c:dLbls>
        <c:gapWidth val="150"/>
        <c:axId val="1561552663"/>
        <c:axId val="1502216292"/>
      </c:barChart>
      <c:catAx>
        <c:axId val="1561552663"/>
        <c:scaling>
          <c:orientation val="maxMin"/>
        </c:scaling>
        <c:delete val="0"/>
        <c:axPos val="l"/>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502216292"/>
        <c:crosses val="autoZero"/>
        <c:auto val="1"/>
        <c:lblAlgn val="ctr"/>
        <c:lblOffset val="100"/>
        <c:noMultiLvlLbl val="1"/>
      </c:catAx>
      <c:valAx>
        <c:axId val="150221629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61552663"/>
        <c:crosses val="max"/>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595959"/>
                </a:solidFill>
                <a:latin typeface="+mn-lt"/>
              </a:defRPr>
            </a:pPr>
            <a:r>
              <a:rPr sz="1400" b="0" i="0">
                <a:solidFill>
                  <a:srgbClr val="595959"/>
                </a:solidFill>
                <a:latin typeface="+mn-lt"/>
              </a:rPr>
              <a:t>Bedroom wise Average Price</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Sheet3!$A$462:$A$474</c:f>
              <c:strCache>
                <c:ptCount val="13"/>
                <c:pt idx="0">
                  <c:v>1</c:v>
                </c:pt>
                <c:pt idx="1">
                  <c:v>2</c:v>
                </c:pt>
                <c:pt idx="2">
                  <c:v>3</c:v>
                </c:pt>
                <c:pt idx="3">
                  <c:v>4</c:v>
                </c:pt>
                <c:pt idx="4">
                  <c:v>5</c:v>
                </c:pt>
                <c:pt idx="5">
                  <c:v>6</c:v>
                </c:pt>
                <c:pt idx="6">
                  <c:v>7</c:v>
                </c:pt>
                <c:pt idx="7">
                  <c:v>8</c:v>
                </c:pt>
                <c:pt idx="8">
                  <c:v>9</c:v>
                </c:pt>
                <c:pt idx="9">
                  <c:v>10</c:v>
                </c:pt>
                <c:pt idx="10">
                  <c:v>11</c:v>
                </c:pt>
                <c:pt idx="11">
                  <c:v>14</c:v>
                </c:pt>
                <c:pt idx="12">
                  <c:v>Grand Total</c:v>
                </c:pt>
              </c:strCache>
            </c:strRef>
          </c:cat>
          <c:val>
            <c:numRef>
              <c:f>Sheet3!$B$462:$B$474</c:f>
              <c:numCache>
                <c:formatCode>General</c:formatCode>
                <c:ptCount val="13"/>
                <c:pt idx="0">
                  <c:v>403065.06024096388</c:v>
                </c:pt>
                <c:pt idx="1">
                  <c:v>643970.07633587788</c:v>
                </c:pt>
                <c:pt idx="2">
                  <c:v>1208493.1309904153</c:v>
                </c:pt>
                <c:pt idx="3">
                  <c:v>2281463.3928571427</c:v>
                </c:pt>
                <c:pt idx="4">
                  <c:v>2910697.6744186045</c:v>
                </c:pt>
                <c:pt idx="5">
                  <c:v>2908947.3684210526</c:v>
                </c:pt>
                <c:pt idx="6">
                  <c:v>3248571.4285714286</c:v>
                </c:pt>
                <c:pt idx="7">
                  <c:v>2595000</c:v>
                </c:pt>
                <c:pt idx="8">
                  <c:v>2450000</c:v>
                </c:pt>
                <c:pt idx="9">
                  <c:v>1700000</c:v>
                </c:pt>
                <c:pt idx="10">
                  <c:v>2900000</c:v>
                </c:pt>
                <c:pt idx="11">
                  <c:v>5000000</c:v>
                </c:pt>
                <c:pt idx="12">
                  <c:v>1081718.764940239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2F8-4509-8A71-D1B031C90E44}"/>
            </c:ext>
          </c:extLst>
        </c:ser>
        <c:dLbls>
          <c:showLegendKey val="0"/>
          <c:showVal val="0"/>
          <c:showCatName val="0"/>
          <c:showSerName val="0"/>
          <c:showPercent val="0"/>
          <c:showBubbleSize val="0"/>
        </c:dLbls>
        <c:gapWidth val="150"/>
        <c:axId val="1431491005"/>
        <c:axId val="1377394868"/>
      </c:barChart>
      <c:catAx>
        <c:axId val="1431491005"/>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377394868"/>
        <c:crosses val="autoZero"/>
        <c:auto val="1"/>
        <c:lblAlgn val="ctr"/>
        <c:lblOffset val="100"/>
        <c:noMultiLvlLbl val="1"/>
      </c:catAx>
      <c:valAx>
        <c:axId val="137739486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431491005"/>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Area wise Total Price</a:t>
            </a:r>
          </a:p>
        </c:rich>
      </c:tx>
      <c:overlay val="0"/>
    </c:title>
    <c:autoTitleDeleted val="0"/>
    <c:plotArea>
      <c:layout/>
      <c:doughnutChart>
        <c:varyColors val="1"/>
        <c:ser>
          <c:idx val="0"/>
          <c:order val="0"/>
          <c:tx>
            <c:strRef>
              <c:f>Sheet3!$B$481</c:f>
              <c:strCache>
                <c:ptCount val="1"/>
                <c:pt idx="0">
                  <c:v>Sum of PRICE</c:v>
                </c:pt>
              </c:strCache>
            </c:strRef>
          </c:tx>
          <c:dPt>
            <c:idx val="0"/>
            <c:bubble3D val="0"/>
            <c:spPr>
              <a:solidFill>
                <a:schemeClr val="accent1"/>
              </a:solidFill>
            </c:spPr>
            <c:extLst>
              <c:ext xmlns:c16="http://schemas.microsoft.com/office/drawing/2014/chart" uri="{C3380CC4-5D6E-409C-BE32-E72D297353CC}">
                <c16:uniqueId val="{00000001-8331-4286-BAB0-BD08FAA12D5E}"/>
              </c:ext>
            </c:extLst>
          </c:dPt>
          <c:dPt>
            <c:idx val="1"/>
            <c:bubble3D val="0"/>
            <c:spPr>
              <a:solidFill>
                <a:schemeClr val="accent2"/>
              </a:solidFill>
            </c:spPr>
            <c:extLst>
              <c:ext xmlns:c16="http://schemas.microsoft.com/office/drawing/2014/chart" uri="{C3380CC4-5D6E-409C-BE32-E72D297353CC}">
                <c16:uniqueId val="{00000003-8331-4286-BAB0-BD08FAA12D5E}"/>
              </c:ext>
            </c:extLst>
          </c:dPt>
          <c:dPt>
            <c:idx val="2"/>
            <c:bubble3D val="0"/>
            <c:spPr>
              <a:solidFill>
                <a:schemeClr val="accent3"/>
              </a:solidFill>
            </c:spPr>
            <c:extLst>
              <c:ext xmlns:c16="http://schemas.microsoft.com/office/drawing/2014/chart" uri="{C3380CC4-5D6E-409C-BE32-E72D297353CC}">
                <c16:uniqueId val="{00000005-8331-4286-BAB0-BD08FAA12D5E}"/>
              </c:ext>
            </c:extLst>
          </c:dPt>
          <c:dPt>
            <c:idx val="3"/>
            <c:bubble3D val="0"/>
            <c:spPr>
              <a:solidFill>
                <a:srgbClr val="FFC000"/>
              </a:solidFill>
            </c:spPr>
            <c:extLst>
              <c:ext xmlns:c16="http://schemas.microsoft.com/office/drawing/2014/chart" uri="{C3380CC4-5D6E-409C-BE32-E72D297353CC}">
                <c16:uniqueId val="{00000007-8331-4286-BAB0-BD08FAA12D5E}"/>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Sheet3!$A$482:$A$485</c:f>
              <c:strCache>
                <c:ptCount val="4"/>
                <c:pt idx="0">
                  <c:v>Large</c:v>
                </c:pt>
                <c:pt idx="1">
                  <c:v>Medium</c:v>
                </c:pt>
                <c:pt idx="2">
                  <c:v>Small</c:v>
                </c:pt>
                <c:pt idx="3">
                  <c:v>Grand Total</c:v>
                </c:pt>
              </c:strCache>
            </c:strRef>
          </c:cat>
          <c:val>
            <c:numRef>
              <c:f>Sheet3!$B$482:$B$485</c:f>
              <c:numCache>
                <c:formatCode>General</c:formatCode>
                <c:ptCount val="4"/>
                <c:pt idx="0">
                  <c:v>500478800</c:v>
                </c:pt>
                <c:pt idx="1">
                  <c:v>757776150</c:v>
                </c:pt>
                <c:pt idx="2">
                  <c:v>99302100</c:v>
                </c:pt>
                <c:pt idx="3">
                  <c:v>1357557050</c:v>
                </c:pt>
              </c:numCache>
            </c:numRef>
          </c:val>
          <c:extLst>
            <c:ext xmlns:c16="http://schemas.microsoft.com/office/drawing/2014/chart" uri="{C3380CC4-5D6E-409C-BE32-E72D297353CC}">
              <c16:uniqueId val="{00000008-8331-4286-BAB0-BD08FAA12D5E}"/>
            </c:ext>
          </c:extLst>
        </c:ser>
        <c:dLbls>
          <c:showLegendKey val="0"/>
          <c:showVal val="0"/>
          <c:showCatName val="0"/>
          <c:showSerName val="0"/>
          <c:showPercent val="0"/>
          <c:showBubbleSize val="0"/>
          <c:showLeaderLines val="1"/>
        </c:dLbls>
        <c:firstSliceAng val="0"/>
        <c:holeSize val="75"/>
      </c:doughnut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Property Type wise Count</a:t>
            </a:r>
          </a:p>
        </c:rich>
      </c:tx>
      <c:overlay val="0"/>
    </c:title>
    <c:autoTitleDeleted val="0"/>
    <c:plotArea>
      <c:layout/>
      <c:pieChart>
        <c:varyColors val="1"/>
        <c:ser>
          <c:idx val="0"/>
          <c:order val="0"/>
          <c:tx>
            <c:strRef>
              <c:f>Sheet3!$B$497</c:f>
              <c:strCache>
                <c:ptCount val="1"/>
                <c:pt idx="0">
                  <c:v>Count of property_type</c:v>
                </c:pt>
              </c:strCache>
            </c:strRef>
          </c:tx>
          <c:dPt>
            <c:idx val="0"/>
            <c:bubble3D val="0"/>
            <c:spPr>
              <a:solidFill>
                <a:schemeClr val="accent1"/>
              </a:solidFill>
            </c:spPr>
            <c:extLst>
              <c:ext xmlns:c16="http://schemas.microsoft.com/office/drawing/2014/chart" uri="{C3380CC4-5D6E-409C-BE32-E72D297353CC}">
                <c16:uniqueId val="{00000001-964B-4A66-AE16-0B20BDFFB8B8}"/>
              </c:ext>
            </c:extLst>
          </c:dPt>
          <c:dPt>
            <c:idx val="1"/>
            <c:bubble3D val="0"/>
            <c:spPr>
              <a:solidFill>
                <a:schemeClr val="accent2"/>
              </a:solidFill>
            </c:spPr>
            <c:extLst>
              <c:ext xmlns:c16="http://schemas.microsoft.com/office/drawing/2014/chart" uri="{C3380CC4-5D6E-409C-BE32-E72D297353CC}">
                <c16:uniqueId val="{00000003-964B-4A66-AE16-0B20BDFFB8B8}"/>
              </c:ext>
            </c:extLst>
          </c:dPt>
          <c:dPt>
            <c:idx val="2"/>
            <c:bubble3D val="0"/>
            <c:spPr>
              <a:solidFill>
                <a:schemeClr val="accent3"/>
              </a:solidFill>
            </c:spPr>
            <c:extLst>
              <c:ext xmlns:c16="http://schemas.microsoft.com/office/drawing/2014/chart" uri="{C3380CC4-5D6E-409C-BE32-E72D297353CC}">
                <c16:uniqueId val="{00000005-964B-4A66-AE16-0B20BDFFB8B8}"/>
              </c:ext>
            </c:extLst>
          </c:dPt>
          <c:dPt>
            <c:idx val="3"/>
            <c:bubble3D val="0"/>
            <c:spPr>
              <a:solidFill>
                <a:schemeClr val="accent4"/>
              </a:solidFill>
            </c:spPr>
            <c:extLst>
              <c:ext xmlns:c16="http://schemas.microsoft.com/office/drawing/2014/chart" uri="{C3380CC4-5D6E-409C-BE32-E72D297353CC}">
                <c16:uniqueId val="{00000007-964B-4A66-AE16-0B20BDFFB8B8}"/>
              </c:ext>
            </c:extLst>
          </c:dPt>
          <c:dPt>
            <c:idx val="4"/>
            <c:bubble3D val="0"/>
            <c:spPr>
              <a:solidFill>
                <a:schemeClr val="accent5"/>
              </a:solidFill>
            </c:spPr>
            <c:extLst>
              <c:ext xmlns:c16="http://schemas.microsoft.com/office/drawing/2014/chart" uri="{C3380CC4-5D6E-409C-BE32-E72D297353CC}">
                <c16:uniqueId val="{00000009-964B-4A66-AE16-0B20BDFFB8B8}"/>
              </c:ext>
            </c:extLst>
          </c:dPt>
          <c:dPt>
            <c:idx val="5"/>
            <c:bubble3D val="0"/>
            <c:spPr>
              <a:solidFill>
                <a:schemeClr val="accent6"/>
              </a:solidFill>
            </c:spPr>
            <c:extLst>
              <c:ext xmlns:c16="http://schemas.microsoft.com/office/drawing/2014/chart" uri="{C3380CC4-5D6E-409C-BE32-E72D297353CC}">
                <c16:uniqueId val="{0000000B-964B-4A66-AE16-0B20BDFFB8B8}"/>
              </c:ext>
            </c:extLst>
          </c:dPt>
          <c:dPt>
            <c:idx val="6"/>
            <c:bubble3D val="0"/>
            <c:spPr>
              <a:solidFill>
                <a:schemeClr val="accent1"/>
              </a:solidFill>
            </c:spPr>
            <c:extLst>
              <c:ext xmlns:c16="http://schemas.microsoft.com/office/drawing/2014/chart" uri="{C3380CC4-5D6E-409C-BE32-E72D297353CC}">
                <c16:uniqueId val="{0000000D-964B-4A66-AE16-0B20BDFFB8B8}"/>
              </c:ext>
            </c:extLst>
          </c:dPt>
          <c:dPt>
            <c:idx val="7"/>
            <c:bubble3D val="0"/>
            <c:spPr>
              <a:solidFill>
                <a:schemeClr val="accent2"/>
              </a:solidFill>
            </c:spPr>
            <c:extLst>
              <c:ext xmlns:c16="http://schemas.microsoft.com/office/drawing/2014/chart" uri="{C3380CC4-5D6E-409C-BE32-E72D297353CC}">
                <c16:uniqueId val="{0000000F-964B-4A66-AE16-0B20BDFFB8B8}"/>
              </c:ext>
            </c:extLst>
          </c:dPt>
          <c:dPt>
            <c:idx val="8"/>
            <c:bubble3D val="0"/>
            <c:spPr>
              <a:solidFill>
                <a:schemeClr val="accent3"/>
              </a:solidFill>
            </c:spPr>
            <c:extLst>
              <c:ext xmlns:c16="http://schemas.microsoft.com/office/drawing/2014/chart" uri="{C3380CC4-5D6E-409C-BE32-E72D297353CC}">
                <c16:uniqueId val="{00000011-964B-4A66-AE16-0B20BDFFB8B8}"/>
              </c:ext>
            </c:extLst>
          </c:dPt>
          <c:dPt>
            <c:idx val="9"/>
            <c:bubble3D val="0"/>
            <c:spPr>
              <a:solidFill>
                <a:schemeClr val="accent4"/>
              </a:solidFill>
            </c:spPr>
            <c:extLst>
              <c:ext xmlns:c16="http://schemas.microsoft.com/office/drawing/2014/chart" uri="{C3380CC4-5D6E-409C-BE32-E72D297353CC}">
                <c16:uniqueId val="{00000013-964B-4A66-AE16-0B20BDFFB8B8}"/>
              </c:ext>
            </c:extLst>
          </c:dPt>
          <c:dPt>
            <c:idx val="10"/>
            <c:bubble3D val="0"/>
            <c:spPr>
              <a:solidFill>
                <a:srgbClr val="8CB9E2"/>
              </a:solidFill>
            </c:spPr>
            <c:extLst>
              <c:ext xmlns:c16="http://schemas.microsoft.com/office/drawing/2014/chart" uri="{C3380CC4-5D6E-409C-BE32-E72D297353CC}">
                <c16:uniqueId val="{00000015-964B-4A66-AE16-0B20BDFFB8B8}"/>
              </c:ext>
            </c:extLst>
          </c:dPt>
          <c:cat>
            <c:strRef>
              <c:f>Sheet3!$A$498:$A$508</c:f>
              <c:strCache>
                <c:ptCount val="11"/>
                <c:pt idx="0">
                  <c:v>600</c:v>
                </c:pt>
                <c:pt idx="1">
                  <c:v>950</c:v>
                </c:pt>
                <c:pt idx="2">
                  <c:v>1000</c:v>
                </c:pt>
                <c:pt idx="3">
                  <c:v>1100</c:v>
                </c:pt>
                <c:pt idx="4">
                  <c:v>1200</c:v>
                </c:pt>
                <c:pt idx="5">
                  <c:v>1500</c:v>
                </c:pt>
                <c:pt idx="6">
                  <c:v>1559</c:v>
                </c:pt>
                <c:pt idx="7">
                  <c:v>1600</c:v>
                </c:pt>
                <c:pt idx="8">
                  <c:v>1800</c:v>
                </c:pt>
                <c:pt idx="9">
                  <c:v>2400</c:v>
                </c:pt>
                <c:pt idx="10">
                  <c:v>Grand Total</c:v>
                </c:pt>
              </c:strCache>
            </c:strRef>
          </c:cat>
          <c:val>
            <c:numRef>
              <c:f>Sheet3!$B$498:$B$508</c:f>
              <c:numCache>
                <c:formatCode>General</c:formatCode>
                <c:ptCount val="11"/>
                <c:pt idx="0">
                  <c:v>16</c:v>
                </c:pt>
                <c:pt idx="1">
                  <c:v>12</c:v>
                </c:pt>
                <c:pt idx="2">
                  <c:v>18</c:v>
                </c:pt>
                <c:pt idx="3">
                  <c:v>17</c:v>
                </c:pt>
                <c:pt idx="4">
                  <c:v>78</c:v>
                </c:pt>
                <c:pt idx="5">
                  <c:v>27</c:v>
                </c:pt>
                <c:pt idx="6">
                  <c:v>31</c:v>
                </c:pt>
                <c:pt idx="7">
                  <c:v>14</c:v>
                </c:pt>
                <c:pt idx="8">
                  <c:v>12</c:v>
                </c:pt>
                <c:pt idx="9">
                  <c:v>13</c:v>
                </c:pt>
                <c:pt idx="10">
                  <c:v>238</c:v>
                </c:pt>
              </c:numCache>
            </c:numRef>
          </c:val>
          <c:extLst>
            <c:ext xmlns:c16="http://schemas.microsoft.com/office/drawing/2014/chart" uri="{C3380CC4-5D6E-409C-BE32-E72D297353CC}">
              <c16:uniqueId val="{00000016-964B-4A66-AE16-0B20BDFFB8B8}"/>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Location wise House Count</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Sheet3!$A$1087:$A$1099</c:f>
              <c:strCache>
                <c:ptCount val="13"/>
                <c:pt idx="0">
                  <c:v>7th Phase JP Nagar</c:v>
                </c:pt>
                <c:pt idx="1">
                  <c:v>Electronic City</c:v>
                </c:pt>
                <c:pt idx="2">
                  <c:v>Haralur Road</c:v>
                </c:pt>
                <c:pt idx="3">
                  <c:v>Hebbal</c:v>
                </c:pt>
                <c:pt idx="4">
                  <c:v>Kanakpura Road</c:v>
                </c:pt>
                <c:pt idx="5">
                  <c:v>Marathahalli</c:v>
                </c:pt>
                <c:pt idx="6">
                  <c:v>Raja Rajeshwari Nagar</c:v>
                </c:pt>
                <c:pt idx="7">
                  <c:v>Sarjapur  Road</c:v>
                </c:pt>
                <c:pt idx="8">
                  <c:v>Thanisandra</c:v>
                </c:pt>
                <c:pt idx="9">
                  <c:v>Uttarahalli</c:v>
                </c:pt>
                <c:pt idx="10">
                  <c:v>Whitefield</c:v>
                </c:pt>
                <c:pt idx="11">
                  <c:v>Yelahanka</c:v>
                </c:pt>
                <c:pt idx="12">
                  <c:v>Grand Total</c:v>
                </c:pt>
              </c:strCache>
            </c:strRef>
          </c:cat>
          <c:val>
            <c:numRef>
              <c:f>Sheet3!$B$1087:$B$1099</c:f>
              <c:numCache>
                <c:formatCode>General</c:formatCode>
                <c:ptCount val="13"/>
                <c:pt idx="0">
                  <c:v>22</c:v>
                </c:pt>
                <c:pt idx="1">
                  <c:v>37</c:v>
                </c:pt>
                <c:pt idx="2">
                  <c:v>18</c:v>
                </c:pt>
                <c:pt idx="3">
                  <c:v>17</c:v>
                </c:pt>
                <c:pt idx="4">
                  <c:v>27</c:v>
                </c:pt>
                <c:pt idx="5">
                  <c:v>22</c:v>
                </c:pt>
                <c:pt idx="6">
                  <c:v>17</c:v>
                </c:pt>
                <c:pt idx="7">
                  <c:v>28</c:v>
                </c:pt>
                <c:pt idx="8">
                  <c:v>25</c:v>
                </c:pt>
                <c:pt idx="9">
                  <c:v>17</c:v>
                </c:pt>
                <c:pt idx="10">
                  <c:v>48</c:v>
                </c:pt>
                <c:pt idx="11">
                  <c:v>21</c:v>
                </c:pt>
                <c:pt idx="12">
                  <c:v>299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9F89-4FA6-93DF-7963E00357F3}"/>
            </c:ext>
          </c:extLst>
        </c:ser>
        <c:dLbls>
          <c:showLegendKey val="0"/>
          <c:showVal val="0"/>
          <c:showCatName val="0"/>
          <c:showSerName val="0"/>
          <c:showPercent val="0"/>
          <c:showBubbleSize val="0"/>
        </c:dLbls>
        <c:gapWidth val="150"/>
        <c:axId val="675565341"/>
        <c:axId val="503334280"/>
      </c:barChart>
      <c:catAx>
        <c:axId val="675565341"/>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503334280"/>
        <c:crosses val="autoZero"/>
        <c:auto val="1"/>
        <c:lblAlgn val="ctr"/>
        <c:lblOffset val="100"/>
        <c:noMultiLvlLbl val="1"/>
      </c:catAx>
      <c:valAx>
        <c:axId val="5033342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675565341"/>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sz="1400" b="0" i="0">
                <a:solidFill>
                  <a:srgbClr val="757575"/>
                </a:solidFill>
                <a:latin typeface="+mn-lt"/>
              </a:rPr>
              <a:t>Bedroom vs Location – Average Price Comparison</a:t>
            </a:r>
          </a:p>
        </c:rich>
      </c:tx>
      <c:overlay val="0"/>
    </c:title>
    <c:autoTitleDeleted val="0"/>
    <c:plotArea>
      <c:layout/>
      <c:barChart>
        <c:barDir val="col"/>
        <c:grouping val="clustered"/>
        <c:varyColors val="1"/>
        <c:ser>
          <c:idx val="0"/>
          <c:order val="0"/>
          <c:tx>
            <c:v>Binnamangala</c:v>
          </c:tx>
          <c:spPr>
            <a:solidFill>
              <a:srgbClr val="4472C4"/>
            </a:solidFill>
            <a:ln cmpd="sng">
              <a:solidFill>
                <a:srgbClr val="000000"/>
              </a:solidFill>
            </a:ln>
          </c:spPr>
          <c:invertIfNegative val="1"/>
          <c:cat>
            <c:strRef>
              <c:f>Sheet3!$A$1070:$A$1082</c:f>
              <c:strCache>
                <c:ptCount val="13"/>
                <c:pt idx="0">
                  <c:v>1</c:v>
                </c:pt>
                <c:pt idx="1">
                  <c:v>2</c:v>
                </c:pt>
                <c:pt idx="2">
                  <c:v>3</c:v>
                </c:pt>
                <c:pt idx="3">
                  <c:v>4</c:v>
                </c:pt>
                <c:pt idx="4">
                  <c:v>5</c:v>
                </c:pt>
                <c:pt idx="5">
                  <c:v>6</c:v>
                </c:pt>
                <c:pt idx="6">
                  <c:v>7</c:v>
                </c:pt>
                <c:pt idx="7">
                  <c:v>8</c:v>
                </c:pt>
                <c:pt idx="8">
                  <c:v>9</c:v>
                </c:pt>
                <c:pt idx="9">
                  <c:v>10</c:v>
                </c:pt>
                <c:pt idx="10">
                  <c:v>11</c:v>
                </c:pt>
                <c:pt idx="11">
                  <c:v>14</c:v>
                </c:pt>
                <c:pt idx="12">
                  <c:v>Grand Total</c:v>
                </c:pt>
              </c:strCache>
            </c:strRef>
          </c:cat>
          <c:val>
            <c:numRef>
              <c:f>Sheet3!$B$1070:$B$1082</c:f>
              <c:numCache>
                <c:formatCode>General</c:formatCode>
                <c:ptCount val="13"/>
                <c:pt idx="4">
                  <c:v>9000000</c:v>
                </c:pt>
                <c:pt idx="12">
                  <c:v>9000000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55F-4071-95A6-08731426D05A}"/>
            </c:ext>
          </c:extLst>
        </c:ser>
        <c:ser>
          <c:idx val="1"/>
          <c:order val="1"/>
          <c:tx>
            <c:v>Cunningham Road</c:v>
          </c:tx>
          <c:spPr>
            <a:solidFill>
              <a:srgbClr val="ED7D31"/>
            </a:solidFill>
            <a:ln cmpd="sng">
              <a:solidFill>
                <a:srgbClr val="000000"/>
              </a:solidFill>
            </a:ln>
          </c:spPr>
          <c:invertIfNegative val="1"/>
          <c:cat>
            <c:strRef>
              <c:f>Sheet3!$A$1070:$A$1082</c:f>
              <c:strCache>
                <c:ptCount val="13"/>
                <c:pt idx="0">
                  <c:v>1</c:v>
                </c:pt>
                <c:pt idx="1">
                  <c:v>2</c:v>
                </c:pt>
                <c:pt idx="2">
                  <c:v>3</c:v>
                </c:pt>
                <c:pt idx="3">
                  <c:v>4</c:v>
                </c:pt>
                <c:pt idx="4">
                  <c:v>5</c:v>
                </c:pt>
                <c:pt idx="5">
                  <c:v>6</c:v>
                </c:pt>
                <c:pt idx="6">
                  <c:v>7</c:v>
                </c:pt>
                <c:pt idx="7">
                  <c:v>8</c:v>
                </c:pt>
                <c:pt idx="8">
                  <c:v>9</c:v>
                </c:pt>
                <c:pt idx="9">
                  <c:v>10</c:v>
                </c:pt>
                <c:pt idx="10">
                  <c:v>11</c:v>
                </c:pt>
                <c:pt idx="11">
                  <c:v>14</c:v>
                </c:pt>
                <c:pt idx="12">
                  <c:v>Grand Total</c:v>
                </c:pt>
              </c:strCache>
            </c:strRef>
          </c:cat>
          <c:val>
            <c:numRef>
              <c:f>Sheet3!$C$1070:$C$1082</c:f>
              <c:numCache>
                <c:formatCode>General</c:formatCode>
                <c:ptCount val="13"/>
                <c:pt idx="3">
                  <c:v>12500000</c:v>
                </c:pt>
                <c:pt idx="12">
                  <c:v>12500000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C55F-4071-95A6-08731426D05A}"/>
            </c:ext>
          </c:extLst>
        </c:ser>
        <c:ser>
          <c:idx val="2"/>
          <c:order val="2"/>
          <c:tx>
            <c:v>Hunasamaranahalli</c:v>
          </c:tx>
          <c:spPr>
            <a:solidFill>
              <a:srgbClr val="A5A5A5"/>
            </a:solidFill>
            <a:ln cmpd="sng">
              <a:solidFill>
                <a:srgbClr val="000000"/>
              </a:solidFill>
            </a:ln>
          </c:spPr>
          <c:invertIfNegative val="1"/>
          <c:cat>
            <c:strRef>
              <c:f>Sheet3!$A$1070:$A$1082</c:f>
              <c:strCache>
                <c:ptCount val="13"/>
                <c:pt idx="0">
                  <c:v>1</c:v>
                </c:pt>
                <c:pt idx="1">
                  <c:v>2</c:v>
                </c:pt>
                <c:pt idx="2">
                  <c:v>3</c:v>
                </c:pt>
                <c:pt idx="3">
                  <c:v>4</c:v>
                </c:pt>
                <c:pt idx="4">
                  <c:v>5</c:v>
                </c:pt>
                <c:pt idx="5">
                  <c:v>6</c:v>
                </c:pt>
                <c:pt idx="6">
                  <c:v>7</c:v>
                </c:pt>
                <c:pt idx="7">
                  <c:v>8</c:v>
                </c:pt>
                <c:pt idx="8">
                  <c:v>9</c:v>
                </c:pt>
                <c:pt idx="9">
                  <c:v>10</c:v>
                </c:pt>
                <c:pt idx="10">
                  <c:v>11</c:v>
                </c:pt>
                <c:pt idx="11">
                  <c:v>14</c:v>
                </c:pt>
                <c:pt idx="12">
                  <c:v>Grand Total</c:v>
                </c:pt>
              </c:strCache>
            </c:strRef>
          </c:cat>
          <c:val>
            <c:numRef>
              <c:f>Sheet3!$D$1070:$D$1082</c:f>
              <c:numCache>
                <c:formatCode>General</c:formatCode>
                <c:ptCount val="13"/>
                <c:pt idx="3">
                  <c:v>6750000</c:v>
                </c:pt>
                <c:pt idx="12">
                  <c:v>6750000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C55F-4071-95A6-08731426D05A}"/>
            </c:ext>
          </c:extLst>
        </c:ser>
        <c:ser>
          <c:idx val="3"/>
          <c:order val="3"/>
          <c:tx>
            <c:v>Sector 1 HSR Layout</c:v>
          </c:tx>
          <c:spPr>
            <a:solidFill>
              <a:srgbClr val="FFC000"/>
            </a:solidFill>
            <a:ln cmpd="sng">
              <a:solidFill>
                <a:srgbClr val="000000"/>
              </a:solidFill>
            </a:ln>
          </c:spPr>
          <c:invertIfNegative val="1"/>
          <c:cat>
            <c:strRef>
              <c:f>Sheet3!$A$1070:$A$1082</c:f>
              <c:strCache>
                <c:ptCount val="13"/>
                <c:pt idx="0">
                  <c:v>1</c:v>
                </c:pt>
                <c:pt idx="1">
                  <c:v>2</c:v>
                </c:pt>
                <c:pt idx="2">
                  <c:v>3</c:v>
                </c:pt>
                <c:pt idx="3">
                  <c:v>4</c:v>
                </c:pt>
                <c:pt idx="4">
                  <c:v>5</c:v>
                </c:pt>
                <c:pt idx="5">
                  <c:v>6</c:v>
                </c:pt>
                <c:pt idx="6">
                  <c:v>7</c:v>
                </c:pt>
                <c:pt idx="7">
                  <c:v>8</c:v>
                </c:pt>
                <c:pt idx="8">
                  <c:v>9</c:v>
                </c:pt>
                <c:pt idx="9">
                  <c:v>10</c:v>
                </c:pt>
                <c:pt idx="10">
                  <c:v>11</c:v>
                </c:pt>
                <c:pt idx="11">
                  <c:v>14</c:v>
                </c:pt>
                <c:pt idx="12">
                  <c:v>Grand Total</c:v>
                </c:pt>
              </c:strCache>
            </c:strRef>
          </c:cat>
          <c:val>
            <c:numRef>
              <c:f>Sheet3!$E$1070:$E$1082</c:f>
              <c:numCache>
                <c:formatCode>General</c:formatCode>
                <c:ptCount val="13"/>
                <c:pt idx="4">
                  <c:v>7750000</c:v>
                </c:pt>
                <c:pt idx="12">
                  <c:v>7750000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C55F-4071-95A6-08731426D05A}"/>
            </c:ext>
          </c:extLst>
        </c:ser>
        <c:ser>
          <c:idx val="4"/>
          <c:order val="4"/>
          <c:tx>
            <c:v>Siddapura</c:v>
          </c:tx>
          <c:spPr>
            <a:solidFill>
              <a:srgbClr val="5B9BD5"/>
            </a:solidFill>
            <a:ln cmpd="sng">
              <a:solidFill>
                <a:srgbClr val="000000"/>
              </a:solidFill>
            </a:ln>
          </c:spPr>
          <c:invertIfNegative val="1"/>
          <c:cat>
            <c:strRef>
              <c:f>Sheet3!$A$1070:$A$1082</c:f>
              <c:strCache>
                <c:ptCount val="13"/>
                <c:pt idx="0">
                  <c:v>1</c:v>
                </c:pt>
                <c:pt idx="1">
                  <c:v>2</c:v>
                </c:pt>
                <c:pt idx="2">
                  <c:v>3</c:v>
                </c:pt>
                <c:pt idx="3">
                  <c:v>4</c:v>
                </c:pt>
                <c:pt idx="4">
                  <c:v>5</c:v>
                </c:pt>
                <c:pt idx="5">
                  <c:v>6</c:v>
                </c:pt>
                <c:pt idx="6">
                  <c:v>7</c:v>
                </c:pt>
                <c:pt idx="7">
                  <c:v>8</c:v>
                </c:pt>
                <c:pt idx="8">
                  <c:v>9</c:v>
                </c:pt>
                <c:pt idx="9">
                  <c:v>10</c:v>
                </c:pt>
                <c:pt idx="10">
                  <c:v>11</c:v>
                </c:pt>
                <c:pt idx="11">
                  <c:v>14</c:v>
                </c:pt>
                <c:pt idx="12">
                  <c:v>Grand Total</c:v>
                </c:pt>
              </c:strCache>
            </c:strRef>
          </c:cat>
          <c:val>
            <c:numRef>
              <c:f>Sheet3!$F$1070:$F$1082</c:f>
              <c:numCache>
                <c:formatCode>General</c:formatCode>
                <c:ptCount val="13"/>
                <c:pt idx="2">
                  <c:v>8000000</c:v>
                </c:pt>
                <c:pt idx="12">
                  <c:v>8000000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C55F-4071-95A6-08731426D05A}"/>
            </c:ext>
          </c:extLst>
        </c:ser>
        <c:dLbls>
          <c:showLegendKey val="0"/>
          <c:showVal val="0"/>
          <c:showCatName val="0"/>
          <c:showSerName val="0"/>
          <c:showPercent val="0"/>
          <c:showBubbleSize val="0"/>
        </c:dLbls>
        <c:gapWidth val="150"/>
        <c:axId val="1590345649"/>
        <c:axId val="1664439159"/>
      </c:barChart>
      <c:catAx>
        <c:axId val="1590345649"/>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664439159"/>
        <c:crosses val="autoZero"/>
        <c:auto val="1"/>
        <c:lblAlgn val="ctr"/>
        <c:lblOffset val="100"/>
        <c:noMultiLvlLbl val="1"/>
      </c:catAx>
      <c:valAx>
        <c:axId val="166443915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1590345649"/>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rgbClr val="757575"/>
                </a:solidFill>
                <a:latin typeface="+mn-lt"/>
              </a:defRPr>
            </a:pPr>
            <a:r>
              <a:rPr lang="en-IN" sz="1600" b="1" i="0">
                <a:solidFill>
                  <a:srgbClr val="757575"/>
                </a:solidFill>
                <a:latin typeface="+mn-lt"/>
              </a:rPr>
              <a:t>1. Price by Area Type</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Sheet1!$A$4:$A$7</c:f>
              <c:strCache>
                <c:ptCount val="4"/>
                <c:pt idx="0">
                  <c:v>Large</c:v>
                </c:pt>
                <c:pt idx="1">
                  <c:v>Medium</c:v>
                </c:pt>
                <c:pt idx="2">
                  <c:v>Small</c:v>
                </c:pt>
                <c:pt idx="3">
                  <c:v>Grand Total</c:v>
                </c:pt>
              </c:strCache>
            </c:strRef>
          </c:cat>
          <c:val>
            <c:numRef>
              <c:f>Sheet1!$B$4:$B$7</c:f>
              <c:numCache>
                <c:formatCode>General</c:formatCode>
                <c:ptCount val="4"/>
                <c:pt idx="0">
                  <c:v>124580000</c:v>
                </c:pt>
                <c:pt idx="1">
                  <c:v>344673950</c:v>
                </c:pt>
                <c:pt idx="2">
                  <c:v>6890000</c:v>
                </c:pt>
                <c:pt idx="3">
                  <c:v>476143950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98F-46A9-AF98-14B74EB043F0}"/>
            </c:ext>
          </c:extLst>
        </c:ser>
        <c:dLbls>
          <c:showLegendKey val="0"/>
          <c:showVal val="0"/>
          <c:showCatName val="0"/>
          <c:showSerName val="0"/>
          <c:showPercent val="0"/>
          <c:showBubbleSize val="0"/>
        </c:dLbls>
        <c:gapWidth val="150"/>
        <c:axId val="977711059"/>
        <c:axId val="1257984295"/>
      </c:barChart>
      <c:catAx>
        <c:axId val="977711059"/>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n-US"/>
          </a:p>
        </c:txPr>
        <c:crossAx val="1257984295"/>
        <c:crosses val="autoZero"/>
        <c:auto val="1"/>
        <c:lblAlgn val="ctr"/>
        <c:lblOffset val="100"/>
        <c:noMultiLvlLbl val="1"/>
      </c:catAx>
      <c:valAx>
        <c:axId val="12579842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n-US"/>
          </a:p>
        </c:txPr>
        <c:crossAx val="977711059"/>
        <c:crosses val="autoZero"/>
        <c:crossBetween val="between"/>
      </c:valAx>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lt1"/>
                </a:solidFill>
                <a:latin typeface="+mn-lt"/>
              </a:defRPr>
            </a:pPr>
            <a:r>
              <a:rPr lang="en-IN" sz="1600" b="1" i="0">
                <a:solidFill>
                  <a:schemeClr val="lt1"/>
                </a:solidFill>
                <a:latin typeface="+mn-lt"/>
              </a:rPr>
              <a:t>Price by SIZE_ROOM</a:t>
            </a:r>
          </a:p>
        </c:rich>
      </c:tx>
      <c:layout>
        <c:manualLayout>
          <c:xMode val="edge"/>
          <c:yMode val="edge"/>
          <c:x val="0.32266666666666666"/>
          <c:y val="9.1571886847477399E-2"/>
        </c:manualLayout>
      </c:layout>
      <c:overlay val="0"/>
    </c:title>
    <c:autoTitleDeleted val="0"/>
    <c:plotArea>
      <c:layout/>
      <c:barChart>
        <c:barDir val="bar"/>
        <c:grouping val="stacked"/>
        <c:varyColors val="1"/>
        <c:ser>
          <c:idx val="0"/>
          <c:order val="0"/>
          <c:tx>
            <c:v>Total</c:v>
          </c:tx>
          <c:spPr>
            <a:solidFill>
              <a:srgbClr val="4472C4"/>
            </a:solidFill>
            <a:ln cmpd="sng">
              <a:solidFill>
                <a:srgbClr val="000000"/>
              </a:solidFill>
            </a:ln>
          </c:spPr>
          <c:invertIfNegative val="1"/>
          <c:dLbls>
            <c:spPr>
              <a:noFill/>
              <a:ln>
                <a:noFill/>
              </a:ln>
              <a:effectLst/>
            </c:spPr>
            <c:txPr>
              <a:bodyPr/>
              <a:lstStyle/>
              <a:p>
                <a:pPr lvl="0">
                  <a:defRPr sz="900" b="0"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Sheet1!$A$15:$A$16</c:f>
              <c:strCache>
                <c:ptCount val="2"/>
                <c:pt idx="0">
                  <c:v>3 </c:v>
                </c:pt>
                <c:pt idx="1">
                  <c:v>Grand Total</c:v>
                </c:pt>
              </c:strCache>
            </c:strRef>
          </c:cat>
          <c:val>
            <c:numRef>
              <c:f>Sheet1!$B$15:$B$16</c:f>
              <c:numCache>
                <c:formatCode>General</c:formatCode>
                <c:ptCount val="2"/>
                <c:pt idx="0">
                  <c:v>476143950</c:v>
                </c:pt>
                <c:pt idx="1">
                  <c:v>476143950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821-4542-BC73-D1DAFC8E4EEC}"/>
            </c:ext>
          </c:extLst>
        </c:ser>
        <c:dLbls>
          <c:showLegendKey val="0"/>
          <c:showVal val="0"/>
          <c:showCatName val="0"/>
          <c:showSerName val="0"/>
          <c:showPercent val="0"/>
          <c:showBubbleSize val="0"/>
        </c:dLbls>
        <c:gapWidth val="150"/>
        <c:overlap val="100"/>
        <c:axId val="1951231176"/>
        <c:axId val="606596594"/>
      </c:barChart>
      <c:catAx>
        <c:axId val="1951231176"/>
        <c:scaling>
          <c:orientation val="maxMin"/>
        </c:scaling>
        <c:delete val="0"/>
        <c:axPos val="l"/>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606596594"/>
        <c:crosses val="autoZero"/>
        <c:auto val="1"/>
        <c:lblAlgn val="ctr"/>
        <c:lblOffset val="100"/>
        <c:noMultiLvlLbl val="1"/>
      </c:catAx>
      <c:valAx>
        <c:axId val="606596594"/>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1951231176"/>
        <c:crosses val="max"/>
        <c:crossBetween val="between"/>
      </c:valAx>
    </c:plotArea>
    <c:legend>
      <c:legendPos val="r"/>
      <c:overlay val="0"/>
      <c:txPr>
        <a:bodyPr/>
        <a:lstStyle/>
        <a:p>
          <a:pPr lvl="0">
            <a:defRPr sz="900" b="0" i="0">
              <a:solidFill>
                <a:schemeClr val="lt1"/>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lt1"/>
                </a:solidFill>
                <a:latin typeface="+mn-lt"/>
              </a:defRPr>
            </a:pPr>
            <a:r>
              <a:rPr lang="en-IN" sz="1600" b="1" i="0">
                <a:solidFill>
                  <a:schemeClr val="lt1"/>
                </a:solidFill>
                <a:latin typeface="+mn-lt"/>
              </a:rPr>
              <a:t>Price by Location</a:t>
            </a:r>
          </a:p>
        </c:rich>
      </c:tx>
      <c:overlay val="0"/>
    </c:title>
    <c:autoTitleDeleted val="0"/>
    <c:plotArea>
      <c:layout/>
      <c:barChart>
        <c:barDir val="col"/>
        <c:grouping val="clustered"/>
        <c:varyColors val="1"/>
        <c:ser>
          <c:idx val="0"/>
          <c:order val="0"/>
          <c:tx>
            <c:v>Total</c:v>
          </c:tx>
          <c:spPr>
            <a:solidFill>
              <a:srgbClr val="4472C4"/>
            </a:solidFill>
            <a:ln cmpd="sng">
              <a:solidFill>
                <a:srgbClr val="000000"/>
              </a:solidFill>
            </a:ln>
          </c:spPr>
          <c:invertIfNegative val="1"/>
          <c:trendline>
            <c:name>Linear (Total)</c:name>
            <c:spPr>
              <a:ln w="19050">
                <a:solidFill>
                  <a:srgbClr val="000000">
                    <a:alpha val="0"/>
                  </a:srgbClr>
                </a:solidFill>
              </a:ln>
            </c:spPr>
            <c:trendlineType val="linear"/>
            <c:dispRSqr val="0"/>
            <c:dispEq val="0"/>
          </c:trendline>
          <c:cat>
            <c:strRef>
              <c:f>Sheet1!$A$35:$A$270</c:f>
              <c:strCache>
                <c:ptCount val="236"/>
                <c:pt idx="0">
                  <c:v>1st Block Jayanagar</c:v>
                </c:pt>
                <c:pt idx="1">
                  <c:v>2nd Block Hrbr Layout</c:v>
                </c:pt>
                <c:pt idx="2">
                  <c:v>2nd Phase JP Nagar</c:v>
                </c:pt>
                <c:pt idx="3">
                  <c:v>6th block banashankari 3rd stage, 100 feet ORR</c:v>
                </c:pt>
                <c:pt idx="4">
                  <c:v>7th Phase JP Nagar</c:v>
                </c:pt>
                <c:pt idx="5">
                  <c:v>8th block Koramangala</c:v>
                </c:pt>
                <c:pt idx="6">
                  <c:v>8th Phase JP Nagar</c:v>
                </c:pt>
                <c:pt idx="7">
                  <c:v>AECS Layout</c:v>
                </c:pt>
                <c:pt idx="8">
                  <c:v>Akshaya Nagar</c:v>
                </c:pt>
                <c:pt idx="9">
                  <c:v>Ambalipura</c:v>
                </c:pt>
                <c:pt idx="10">
                  <c:v>Ambedkar Colony</c:v>
                </c:pt>
                <c:pt idx="11">
                  <c:v>Ambedkar Nagar</c:v>
                </c:pt>
                <c:pt idx="12">
                  <c:v>Amco Colony</c:v>
                </c:pt>
                <c:pt idx="13">
                  <c:v>Anjanapura</c:v>
                </c:pt>
                <c:pt idx="14">
                  <c:v>Ardendale</c:v>
                </c:pt>
                <c:pt idx="15">
                  <c:v>Arekere</c:v>
                </c:pt>
                <c:pt idx="16">
                  <c:v>Ashwath Nagar</c:v>
                </c:pt>
                <c:pt idx="17">
                  <c:v>Avalahalli</c:v>
                </c:pt>
                <c:pt idx="18">
                  <c:v>B Narayanapura</c:v>
                </c:pt>
                <c:pt idx="19">
                  <c:v>Babusapalaya</c:v>
                </c:pt>
                <c:pt idx="20">
                  <c:v>Balagere</c:v>
                </c:pt>
                <c:pt idx="21">
                  <c:v>Banashankari</c:v>
                </c:pt>
                <c:pt idx="22">
                  <c:v>Banashankari Stage III</c:v>
                </c:pt>
                <c:pt idx="23">
                  <c:v>Banashankari3rd stage bigbazar</c:v>
                </c:pt>
                <c:pt idx="24">
                  <c:v>Banjara Layout</c:v>
                </c:pt>
                <c:pt idx="25">
                  <c:v>Bannerghatta Road</c:v>
                </c:pt>
                <c:pt idx="26">
                  <c:v>Basavanagara</c:v>
                </c:pt>
                <c:pt idx="27">
                  <c:v>Basavanapura</c:v>
                </c:pt>
                <c:pt idx="28">
                  <c:v>Basavanna Nagar</c:v>
                </c:pt>
                <c:pt idx="29">
                  <c:v>Basaveshwara Nagar</c:v>
                </c:pt>
                <c:pt idx="30">
                  <c:v>Battarahalli</c:v>
                </c:pt>
                <c:pt idx="31">
                  <c:v>Begur Road</c:v>
                </c:pt>
                <c:pt idx="32">
                  <c:v>Bellandur</c:v>
                </c:pt>
                <c:pt idx="33">
                  <c:v>BEML Layout</c:v>
                </c:pt>
                <c:pt idx="34">
                  <c:v>Bendiganahalli</c:v>
                </c:pt>
                <c:pt idx="35">
                  <c:v>Bhoganhalli</c:v>
                </c:pt>
                <c:pt idx="36">
                  <c:v>Billekahalli</c:v>
                </c:pt>
                <c:pt idx="37">
                  <c:v>Binny Pete</c:v>
                </c:pt>
                <c:pt idx="38">
                  <c:v>Bisuvanahalli</c:v>
                </c:pt>
                <c:pt idx="39">
                  <c:v>Bommasandra</c:v>
                </c:pt>
                <c:pt idx="40">
                  <c:v>Bommasandra Industrial Area</c:v>
                </c:pt>
                <c:pt idx="41">
                  <c:v>Brookefield</c:v>
                </c:pt>
                <c:pt idx="42">
                  <c:v>Budigere</c:v>
                </c:pt>
                <c:pt idx="43">
                  <c:v>Bull Temple Road</c:v>
                </c:pt>
                <c:pt idx="44">
                  <c:v>Byatarayanapura</c:v>
                </c:pt>
                <c:pt idx="45">
                  <c:v>Canara Bank Layout</c:v>
                </c:pt>
                <c:pt idx="46">
                  <c:v>Chamrajpet</c:v>
                </c:pt>
                <c:pt idx="47">
                  <c:v>Chandapura</c:v>
                </c:pt>
                <c:pt idx="48">
                  <c:v>Chandra Layout</c:v>
                </c:pt>
                <c:pt idx="49">
                  <c:v>Channasandra</c:v>
                </c:pt>
                <c:pt idx="50">
                  <c:v>Chikkaballapur</c:v>
                </c:pt>
                <c:pt idx="51">
                  <c:v>Chikkalasandra</c:v>
                </c:pt>
                <c:pt idx="52">
                  <c:v>CHIKKATIRUPATHI</c:v>
                </c:pt>
                <c:pt idx="53">
                  <c:v>Cholanayakanahalli</c:v>
                </c:pt>
                <c:pt idx="54">
                  <c:v>Coffee Board Layout</c:v>
                </c:pt>
                <c:pt idx="55">
                  <c:v>Cox Town</c:v>
                </c:pt>
                <c:pt idx="56">
                  <c:v>CV Raman Nagar</c:v>
                </c:pt>
                <c:pt idx="57">
                  <c:v>Dairy Circle</c:v>
                </c:pt>
                <c:pt idx="58">
                  <c:v>Dasarahalli</c:v>
                </c:pt>
                <c:pt idx="59">
                  <c:v>Devanahalli</c:v>
                </c:pt>
                <c:pt idx="60">
                  <c:v>Devarachikkanahalli</c:v>
                </c:pt>
                <c:pt idx="61">
                  <c:v>Divya Unnathi Layout</c:v>
                </c:pt>
                <c:pt idx="62">
                  <c:v>Dodda Kempaiah Layout</c:v>
                </c:pt>
                <c:pt idx="63">
                  <c:v>Doddagubbi</c:v>
                </c:pt>
                <c:pt idx="64">
                  <c:v>Domlur</c:v>
                </c:pt>
                <c:pt idx="65">
                  <c:v>Dommasandra</c:v>
                </c:pt>
                <c:pt idx="66">
                  <c:v>Dooravani Nagar</c:v>
                </c:pt>
                <c:pt idx="67">
                  <c:v>Double Road</c:v>
                </c:pt>
                <c:pt idx="68">
                  <c:v>Dr Shivarama Karantha Nagar</c:v>
                </c:pt>
                <c:pt idx="69">
                  <c:v>Electronic City</c:v>
                </c:pt>
                <c:pt idx="70">
                  <c:v>Electronic City Phase II</c:v>
                </c:pt>
                <c:pt idx="71">
                  <c:v>Electronics City Phase 1</c:v>
                </c:pt>
                <c:pt idx="72">
                  <c:v>EPIP Zone</c:v>
                </c:pt>
                <c:pt idx="73">
                  <c:v>FARLAHM</c:v>
                </c:pt>
                <c:pt idx="74">
                  <c:v>Garudachar Palya</c:v>
                </c:pt>
                <c:pt idx="75">
                  <c:v>GM Palaya</c:v>
                </c:pt>
                <c:pt idx="76">
                  <c:v>Gopalapura</c:v>
                </c:pt>
                <c:pt idx="77">
                  <c:v>Gopalkrishna Nagar</c:v>
                </c:pt>
                <c:pt idx="78">
                  <c:v>Gottigere</c:v>
                </c:pt>
                <c:pt idx="79">
                  <c:v>Green Glen Layout</c:v>
                </c:pt>
                <c:pt idx="80">
                  <c:v>Gubbalala</c:v>
                </c:pt>
                <c:pt idx="81">
                  <c:v>Gunjur</c:v>
                </c:pt>
                <c:pt idx="82">
                  <c:v>Haralur Road</c:v>
                </c:pt>
                <c:pt idx="83">
                  <c:v>Harlur</c:v>
                </c:pt>
                <c:pt idx="84">
                  <c:v>Hebbal</c:v>
                </c:pt>
                <c:pt idx="85">
                  <c:v>Hebbal Kempapura</c:v>
                </c:pt>
                <c:pt idx="86">
                  <c:v>Hegde Nagar</c:v>
                </c:pt>
                <c:pt idx="87">
                  <c:v>Hennur Road</c:v>
                </c:pt>
                <c:pt idx="88">
                  <c:v>Herohalli</c:v>
                </c:pt>
                <c:pt idx="89">
                  <c:v>Hoodi</c:v>
                </c:pt>
                <c:pt idx="90">
                  <c:v>Hoodi Circle, </c:v>
                </c:pt>
                <c:pt idx="91">
                  <c:v>Horamavu Agara</c:v>
                </c:pt>
                <c:pt idx="92">
                  <c:v>Horamavu Banaswadi</c:v>
                </c:pt>
                <c:pt idx="93">
                  <c:v>Hosa Road</c:v>
                </c:pt>
                <c:pt idx="94">
                  <c:v>Hosahalli</c:v>
                </c:pt>
                <c:pt idx="95">
                  <c:v>Hosakerehalli</c:v>
                </c:pt>
                <c:pt idx="96">
                  <c:v>Hosur Road</c:v>
                </c:pt>
                <c:pt idx="97">
                  <c:v>Hoysalanagar</c:v>
                </c:pt>
                <c:pt idx="98">
                  <c:v>HSR Layout</c:v>
                </c:pt>
                <c:pt idx="99">
                  <c:v>Hulimavu</c:v>
                </c:pt>
                <c:pt idx="100">
                  <c:v>Huskur</c:v>
                </c:pt>
                <c:pt idx="101">
                  <c:v>Iblur Village</c:v>
                </c:pt>
                <c:pt idx="102">
                  <c:v>ITI Layout</c:v>
                </c:pt>
                <c:pt idx="103">
                  <c:v>ITPL</c:v>
                </c:pt>
                <c:pt idx="104">
                  <c:v>Jai Bheema Nagar</c:v>
                </c:pt>
                <c:pt idx="105">
                  <c:v>Jakkur</c:v>
                </c:pt>
                <c:pt idx="106">
                  <c:v>Jalahalli</c:v>
                </c:pt>
                <c:pt idx="107">
                  <c:v>Jalahalli East</c:v>
                </c:pt>
                <c:pt idx="108">
                  <c:v>Jaya Nagar East</c:v>
                </c:pt>
                <c:pt idx="109">
                  <c:v>Jigani</c:v>
                </c:pt>
                <c:pt idx="110">
                  <c:v>JP Nagar</c:v>
                </c:pt>
                <c:pt idx="111">
                  <c:v>K G Colony</c:v>
                </c:pt>
                <c:pt idx="112">
                  <c:v>Kadugodi</c:v>
                </c:pt>
                <c:pt idx="113">
                  <c:v>Kaggadasapura</c:v>
                </c:pt>
                <c:pt idx="114">
                  <c:v>Kaggalipura</c:v>
                </c:pt>
                <c:pt idx="115">
                  <c:v>Kalena Agrahara</c:v>
                </c:pt>
                <c:pt idx="116">
                  <c:v>Kalyan nagar</c:v>
                </c:pt>
                <c:pt idx="117">
                  <c:v>Kambipura</c:v>
                </c:pt>
                <c:pt idx="118">
                  <c:v>Kammasandra</c:v>
                </c:pt>
                <c:pt idx="119">
                  <c:v>Kanakapura</c:v>
                </c:pt>
                <c:pt idx="120">
                  <c:v>Kanakpura Road</c:v>
                </c:pt>
                <c:pt idx="121">
                  <c:v>Kariyammana Agrahara</c:v>
                </c:pt>
                <c:pt idx="122">
                  <c:v>Kasavanhalli</c:v>
                </c:pt>
                <c:pt idx="123">
                  <c:v>Kasturi Nagar</c:v>
                </c:pt>
                <c:pt idx="124">
                  <c:v>Kathriguppe</c:v>
                </c:pt>
                <c:pt idx="125">
                  <c:v>Kengeri</c:v>
                </c:pt>
                <c:pt idx="126">
                  <c:v>Kengeri Satellite Town</c:v>
                </c:pt>
                <c:pt idx="127">
                  <c:v>Keshava Nagar</c:v>
                </c:pt>
                <c:pt idx="128">
                  <c:v>Kodanda Reddy Layout</c:v>
                </c:pt>
                <c:pt idx="129">
                  <c:v>Kodbisanhalli</c:v>
                </c:pt>
                <c:pt idx="130">
                  <c:v>Kodichikkanahalli</c:v>
                </c:pt>
                <c:pt idx="131">
                  <c:v>Kodigehaali</c:v>
                </c:pt>
                <c:pt idx="132">
                  <c:v>Kogilu</c:v>
                </c:pt>
                <c:pt idx="133">
                  <c:v>Konanakunte</c:v>
                </c:pt>
                <c:pt idx="134">
                  <c:v>Koramangala</c:v>
                </c:pt>
                <c:pt idx="135">
                  <c:v>Kothannur</c:v>
                </c:pt>
                <c:pt idx="136">
                  <c:v>Kothanur</c:v>
                </c:pt>
                <c:pt idx="137">
                  <c:v>Kudlu Gate</c:v>
                </c:pt>
                <c:pt idx="138">
                  <c:v>KUDLU MAIN ROAD</c:v>
                </c:pt>
                <c:pt idx="139">
                  <c:v>Kundalahalli</c:v>
                </c:pt>
                <c:pt idx="140">
                  <c:v>Lakshmiamma Garden</c:v>
                </c:pt>
                <c:pt idx="141">
                  <c:v>Lakshminarayana Pura</c:v>
                </c:pt>
                <c:pt idx="142">
                  <c:v>Langford Town</c:v>
                </c:pt>
                <c:pt idx="143">
                  <c:v>LB Shastri Nagar</c:v>
                </c:pt>
                <c:pt idx="144">
                  <c:v>Lingadheeranahalli</c:v>
                </c:pt>
                <c:pt idx="145">
                  <c:v>Magadi Road</c:v>
                </c:pt>
                <c:pt idx="146">
                  <c:v>Mahadevpura</c:v>
                </c:pt>
                <c:pt idx="147">
                  <c:v>Mallasandra</c:v>
                </c:pt>
                <c:pt idx="148">
                  <c:v>Malleshwaram</c:v>
                </c:pt>
                <c:pt idx="149">
                  <c:v>Manayata Tech Park</c:v>
                </c:pt>
                <c:pt idx="150">
                  <c:v>Mangammanapalya</c:v>
                </c:pt>
                <c:pt idx="151">
                  <c:v>Mango Garden Layout</c:v>
                </c:pt>
                <c:pt idx="152">
                  <c:v>manyata park</c:v>
                </c:pt>
                <c:pt idx="153">
                  <c:v>Maragondanahalli</c:v>
                </c:pt>
                <c:pt idx="154">
                  <c:v>Marathahalli</c:v>
                </c:pt>
                <c:pt idx="155">
                  <c:v>Marathalli bridge</c:v>
                </c:pt>
                <c:pt idx="156">
                  <c:v>Meenakunte</c:v>
                </c:pt>
                <c:pt idx="157">
                  <c:v>MS Pallya</c:v>
                </c:pt>
                <c:pt idx="158">
                  <c:v>Muthurayya Swamy Layout</c:v>
                </c:pt>
                <c:pt idx="159">
                  <c:v>Mysore Highway</c:v>
                </c:pt>
                <c:pt idx="160">
                  <c:v>Mysore Road</c:v>
                </c:pt>
                <c:pt idx="161">
                  <c:v>Nagarbhavi</c:v>
                </c:pt>
                <c:pt idx="162">
                  <c:v>Nagondanahalli</c:v>
                </c:pt>
                <c:pt idx="163">
                  <c:v>Narayanapura</c:v>
                </c:pt>
                <c:pt idx="164">
                  <c:v>Ngef Layout</c:v>
                </c:pt>
                <c:pt idx="165">
                  <c:v>NRI Layout</c:v>
                </c:pt>
                <c:pt idx="166">
                  <c:v>Off Sarjapur Road, </c:v>
                </c:pt>
                <c:pt idx="167">
                  <c:v>Old Airport Road</c:v>
                </c:pt>
                <c:pt idx="168">
                  <c:v>Old Madras Road</c:v>
                </c:pt>
                <c:pt idx="169">
                  <c:v>OMBR Layout</c:v>
                </c:pt>
                <c:pt idx="170">
                  <c:v>Panathur</c:v>
                </c:pt>
                <c:pt idx="171">
                  <c:v>Pattandur Agrahara</c:v>
                </c:pt>
                <c:pt idx="172">
                  <c:v>Peenya</c:v>
                </c:pt>
                <c:pt idx="173">
                  <c:v>Prashanth Nagar</c:v>
                </c:pt>
                <c:pt idx="174">
                  <c:v>Rachenahalli</c:v>
                </c:pt>
                <c:pt idx="175">
                  <c:v>Raja Rajeshwari Nagar</c:v>
                </c:pt>
                <c:pt idx="176">
                  <c:v>Rajaji Nagar</c:v>
                </c:pt>
                <c:pt idx="177">
                  <c:v>Rajiv Nagar</c:v>
                </c:pt>
                <c:pt idx="178">
                  <c:v>Ramakrishnappa Layout</c:v>
                </c:pt>
                <c:pt idx="179">
                  <c:v>Ramanjaneyanagar</c:v>
                </c:pt>
                <c:pt idx="180">
                  <c:v>Rayasandra</c:v>
                </c:pt>
                <c:pt idx="181">
                  <c:v>Richmond Town</c:v>
                </c:pt>
                <c:pt idx="182">
                  <c:v>RMV</c:v>
                </c:pt>
                <c:pt idx="183">
                  <c:v>RMV Extension</c:v>
                </c:pt>
                <c:pt idx="184">
                  <c:v>RWF West Colony</c:v>
                </c:pt>
                <c:pt idx="185">
                  <c:v>Sadashiva Nagar</c:v>
                </c:pt>
                <c:pt idx="186">
                  <c:v>Sahakara Nagar</c:v>
                </c:pt>
                <c:pt idx="187">
                  <c:v>Sampigehalli</c:v>
                </c:pt>
                <c:pt idx="188">
                  <c:v>Sanjeevini Nagar</c:v>
                </c:pt>
                <c:pt idx="189">
                  <c:v>Sarjapur</c:v>
                </c:pt>
                <c:pt idx="190">
                  <c:v>Sarjapur  Road</c:v>
                </c:pt>
                <c:pt idx="191">
                  <c:v>Sarjapura - Attibele Road</c:v>
                </c:pt>
                <c:pt idx="192">
                  <c:v>Seegehalli</c:v>
                </c:pt>
                <c:pt idx="193">
                  <c:v>Shantiniketan Layout</c:v>
                </c:pt>
                <c:pt idx="194">
                  <c:v>Silk Board</c:v>
                </c:pt>
                <c:pt idx="195">
                  <c:v>Silver Springs Layout</c:v>
                </c:pt>
                <c:pt idx="196">
                  <c:v>Singasandra</c:v>
                </c:pt>
                <c:pt idx="197">
                  <c:v>Singena Agrahara</c:v>
                </c:pt>
                <c:pt idx="198">
                  <c:v>Somasundara Palya</c:v>
                </c:pt>
                <c:pt idx="199">
                  <c:v>Sompura</c:v>
                </c:pt>
                <c:pt idx="200">
                  <c:v>Srinivasa Nagar</c:v>
                </c:pt>
                <c:pt idx="201">
                  <c:v>Suddaguntepalya</c:v>
                </c:pt>
                <c:pt idx="202">
                  <c:v>Sunder Ram Shetty Nagar</c:v>
                </c:pt>
                <c:pt idx="203">
                  <c:v>Surabhi Layout</c:v>
                </c:pt>
                <c:pt idx="204">
                  <c:v>Suragajakkanahalli</c:v>
                </c:pt>
                <c:pt idx="205">
                  <c:v>Suraksha Nagar</c:v>
                </c:pt>
                <c:pt idx="206">
                  <c:v>T Dasarahalli</c:v>
                </c:pt>
                <c:pt idx="207">
                  <c:v>Tala Cauvery Layout</c:v>
                </c:pt>
                <c:pt idx="208">
                  <c:v>Talaghattapura</c:v>
                </c:pt>
                <c:pt idx="209">
                  <c:v>TC Palaya</c:v>
                </c:pt>
                <c:pt idx="210">
                  <c:v>Teachers Colony</c:v>
                </c:pt>
                <c:pt idx="211">
                  <c:v>Tejaswini Nagar</c:v>
                </c:pt>
                <c:pt idx="212">
                  <c:v>Thanisandra</c:v>
                </c:pt>
                <c:pt idx="213">
                  <c:v>Tharabanahalli</c:v>
                </c:pt>
                <c:pt idx="214">
                  <c:v>Thigalarapalya</c:v>
                </c:pt>
                <c:pt idx="215">
                  <c:v>Tindlu</c:v>
                </c:pt>
                <c:pt idx="216">
                  <c:v>Tumkur Road</c:v>
                </c:pt>
                <c:pt idx="217">
                  <c:v>Udayapur Village</c:v>
                </c:pt>
                <c:pt idx="218">
                  <c:v>Ulsoor</c:v>
                </c:pt>
                <c:pt idx="219">
                  <c:v>unkonwn</c:v>
                </c:pt>
                <c:pt idx="220">
                  <c:v>Uttarahalli</c:v>
                </c:pt>
                <c:pt idx="221">
                  <c:v>Vadarpalya</c:v>
                </c:pt>
                <c:pt idx="222">
                  <c:v>Varthur</c:v>
                </c:pt>
                <c:pt idx="223">
                  <c:v>Vasanth nagar</c:v>
                </c:pt>
                <c:pt idx="224">
                  <c:v>Vasantha Vallabha Nagar</c:v>
                </c:pt>
                <c:pt idx="225">
                  <c:v>Vasanthapura</c:v>
                </c:pt>
                <c:pt idx="226">
                  <c:v>Vidyaranyapura</c:v>
                </c:pt>
                <c:pt idx="227">
                  <c:v>Vijayanagar</c:v>
                </c:pt>
                <c:pt idx="228">
                  <c:v>Whitefield</c:v>
                </c:pt>
                <c:pt idx="229">
                  <c:v>Williams Town</c:v>
                </c:pt>
                <c:pt idx="230">
                  <c:v>Yarandahalli</c:v>
                </c:pt>
                <c:pt idx="231">
                  <c:v>Yelachenahalli</c:v>
                </c:pt>
                <c:pt idx="232">
                  <c:v>Yelahanka</c:v>
                </c:pt>
                <c:pt idx="233">
                  <c:v>Yemlur, Old Airport Road, </c:v>
                </c:pt>
                <c:pt idx="234">
                  <c:v>Yeshwanthpur</c:v>
                </c:pt>
                <c:pt idx="235">
                  <c:v>Grand Total</c:v>
                </c:pt>
              </c:strCache>
            </c:strRef>
          </c:cat>
          <c:val>
            <c:numRef>
              <c:f>Sheet1!$B$35:$B$270</c:f>
              <c:numCache>
                <c:formatCode>General</c:formatCode>
                <c:ptCount val="236"/>
                <c:pt idx="0">
                  <c:v>1940000</c:v>
                </c:pt>
                <c:pt idx="1">
                  <c:v>900000</c:v>
                </c:pt>
                <c:pt idx="2">
                  <c:v>4990000</c:v>
                </c:pt>
                <c:pt idx="3">
                  <c:v>6600000</c:v>
                </c:pt>
                <c:pt idx="4">
                  <c:v>9910000</c:v>
                </c:pt>
                <c:pt idx="5">
                  <c:v>3000000</c:v>
                </c:pt>
                <c:pt idx="6">
                  <c:v>435000</c:v>
                </c:pt>
                <c:pt idx="7">
                  <c:v>980000</c:v>
                </c:pt>
                <c:pt idx="8">
                  <c:v>5201000</c:v>
                </c:pt>
                <c:pt idx="9">
                  <c:v>2850000</c:v>
                </c:pt>
                <c:pt idx="10">
                  <c:v>1650000</c:v>
                </c:pt>
                <c:pt idx="11">
                  <c:v>1300000</c:v>
                </c:pt>
                <c:pt idx="12">
                  <c:v>880000</c:v>
                </c:pt>
                <c:pt idx="13">
                  <c:v>1390000</c:v>
                </c:pt>
                <c:pt idx="14">
                  <c:v>1000000</c:v>
                </c:pt>
                <c:pt idx="15">
                  <c:v>2350000</c:v>
                </c:pt>
                <c:pt idx="16">
                  <c:v>840000</c:v>
                </c:pt>
                <c:pt idx="17">
                  <c:v>1200000</c:v>
                </c:pt>
                <c:pt idx="18">
                  <c:v>985000</c:v>
                </c:pt>
                <c:pt idx="19">
                  <c:v>434000</c:v>
                </c:pt>
                <c:pt idx="20">
                  <c:v>790000</c:v>
                </c:pt>
                <c:pt idx="21">
                  <c:v>2056400</c:v>
                </c:pt>
                <c:pt idx="22">
                  <c:v>587000</c:v>
                </c:pt>
                <c:pt idx="23">
                  <c:v>1250000</c:v>
                </c:pt>
                <c:pt idx="24">
                  <c:v>580000</c:v>
                </c:pt>
                <c:pt idx="25">
                  <c:v>4826300</c:v>
                </c:pt>
                <c:pt idx="26">
                  <c:v>800000</c:v>
                </c:pt>
                <c:pt idx="27">
                  <c:v>467400</c:v>
                </c:pt>
                <c:pt idx="28">
                  <c:v>950000</c:v>
                </c:pt>
                <c:pt idx="29">
                  <c:v>1450000</c:v>
                </c:pt>
                <c:pt idx="30">
                  <c:v>1870300</c:v>
                </c:pt>
                <c:pt idx="31">
                  <c:v>1787600</c:v>
                </c:pt>
                <c:pt idx="32">
                  <c:v>1030000</c:v>
                </c:pt>
                <c:pt idx="33">
                  <c:v>850000</c:v>
                </c:pt>
                <c:pt idx="34">
                  <c:v>950000</c:v>
                </c:pt>
                <c:pt idx="35">
                  <c:v>990000</c:v>
                </c:pt>
                <c:pt idx="36">
                  <c:v>1100000</c:v>
                </c:pt>
                <c:pt idx="37">
                  <c:v>1220000</c:v>
                </c:pt>
                <c:pt idx="38">
                  <c:v>2830000</c:v>
                </c:pt>
                <c:pt idx="39">
                  <c:v>953600</c:v>
                </c:pt>
                <c:pt idx="40">
                  <c:v>504000</c:v>
                </c:pt>
                <c:pt idx="41">
                  <c:v>3230000</c:v>
                </c:pt>
                <c:pt idx="42">
                  <c:v>1030000</c:v>
                </c:pt>
                <c:pt idx="43">
                  <c:v>1400000</c:v>
                </c:pt>
                <c:pt idx="44">
                  <c:v>1650000</c:v>
                </c:pt>
                <c:pt idx="45">
                  <c:v>900000</c:v>
                </c:pt>
                <c:pt idx="46">
                  <c:v>1200000</c:v>
                </c:pt>
                <c:pt idx="47">
                  <c:v>1086300</c:v>
                </c:pt>
                <c:pt idx="48">
                  <c:v>850500</c:v>
                </c:pt>
                <c:pt idx="49">
                  <c:v>483300</c:v>
                </c:pt>
                <c:pt idx="50">
                  <c:v>1000000</c:v>
                </c:pt>
                <c:pt idx="51">
                  <c:v>561200</c:v>
                </c:pt>
                <c:pt idx="52">
                  <c:v>1000000</c:v>
                </c:pt>
                <c:pt idx="53">
                  <c:v>2050000</c:v>
                </c:pt>
                <c:pt idx="54">
                  <c:v>1700000</c:v>
                </c:pt>
                <c:pt idx="55">
                  <c:v>1500000</c:v>
                </c:pt>
                <c:pt idx="56">
                  <c:v>650000</c:v>
                </c:pt>
                <c:pt idx="57">
                  <c:v>2250000</c:v>
                </c:pt>
                <c:pt idx="58">
                  <c:v>750000</c:v>
                </c:pt>
                <c:pt idx="59">
                  <c:v>1433400</c:v>
                </c:pt>
                <c:pt idx="60">
                  <c:v>440000</c:v>
                </c:pt>
                <c:pt idx="61">
                  <c:v>644400</c:v>
                </c:pt>
                <c:pt idx="62">
                  <c:v>750000</c:v>
                </c:pt>
                <c:pt idx="63">
                  <c:v>700000</c:v>
                </c:pt>
                <c:pt idx="64">
                  <c:v>900000</c:v>
                </c:pt>
                <c:pt idx="65">
                  <c:v>255300</c:v>
                </c:pt>
                <c:pt idx="66">
                  <c:v>1800000</c:v>
                </c:pt>
                <c:pt idx="67">
                  <c:v>1000000</c:v>
                </c:pt>
                <c:pt idx="68">
                  <c:v>650000</c:v>
                </c:pt>
                <c:pt idx="69">
                  <c:v>8955300</c:v>
                </c:pt>
                <c:pt idx="70">
                  <c:v>756600</c:v>
                </c:pt>
                <c:pt idx="71">
                  <c:v>2410900</c:v>
                </c:pt>
                <c:pt idx="72">
                  <c:v>2640000</c:v>
                </c:pt>
                <c:pt idx="73">
                  <c:v>3920000</c:v>
                </c:pt>
                <c:pt idx="74">
                  <c:v>608000</c:v>
                </c:pt>
                <c:pt idx="75">
                  <c:v>860000</c:v>
                </c:pt>
                <c:pt idx="76">
                  <c:v>2750000</c:v>
                </c:pt>
                <c:pt idx="77">
                  <c:v>620000</c:v>
                </c:pt>
                <c:pt idx="78">
                  <c:v>825000</c:v>
                </c:pt>
                <c:pt idx="79">
                  <c:v>1250000</c:v>
                </c:pt>
                <c:pt idx="80">
                  <c:v>820000</c:v>
                </c:pt>
                <c:pt idx="81">
                  <c:v>660000</c:v>
                </c:pt>
                <c:pt idx="82">
                  <c:v>4370000</c:v>
                </c:pt>
                <c:pt idx="83">
                  <c:v>4780000</c:v>
                </c:pt>
                <c:pt idx="84">
                  <c:v>12386800</c:v>
                </c:pt>
                <c:pt idx="85">
                  <c:v>3300000</c:v>
                </c:pt>
                <c:pt idx="86">
                  <c:v>4930000</c:v>
                </c:pt>
                <c:pt idx="87">
                  <c:v>8065800</c:v>
                </c:pt>
                <c:pt idx="88">
                  <c:v>700000</c:v>
                </c:pt>
                <c:pt idx="89">
                  <c:v>2737500</c:v>
                </c:pt>
                <c:pt idx="90">
                  <c:v>790000</c:v>
                </c:pt>
                <c:pt idx="91">
                  <c:v>1214800</c:v>
                </c:pt>
                <c:pt idx="92">
                  <c:v>1210000</c:v>
                </c:pt>
                <c:pt idx="93">
                  <c:v>1650000</c:v>
                </c:pt>
                <c:pt idx="94">
                  <c:v>700000</c:v>
                </c:pt>
                <c:pt idx="95">
                  <c:v>8440000</c:v>
                </c:pt>
                <c:pt idx="96">
                  <c:v>2130000</c:v>
                </c:pt>
                <c:pt idx="97">
                  <c:v>570000</c:v>
                </c:pt>
                <c:pt idx="98">
                  <c:v>1960000</c:v>
                </c:pt>
                <c:pt idx="99">
                  <c:v>1780000</c:v>
                </c:pt>
                <c:pt idx="100">
                  <c:v>352300</c:v>
                </c:pt>
                <c:pt idx="101">
                  <c:v>2350000</c:v>
                </c:pt>
                <c:pt idx="102">
                  <c:v>750000</c:v>
                </c:pt>
                <c:pt idx="103">
                  <c:v>2140200</c:v>
                </c:pt>
                <c:pt idx="104">
                  <c:v>700000</c:v>
                </c:pt>
                <c:pt idx="105">
                  <c:v>3185100</c:v>
                </c:pt>
                <c:pt idx="106">
                  <c:v>2370000</c:v>
                </c:pt>
                <c:pt idx="107">
                  <c:v>600000</c:v>
                </c:pt>
                <c:pt idx="108">
                  <c:v>3500000</c:v>
                </c:pt>
                <c:pt idx="109">
                  <c:v>550000</c:v>
                </c:pt>
                <c:pt idx="110">
                  <c:v>1500000</c:v>
                </c:pt>
                <c:pt idx="111">
                  <c:v>500000</c:v>
                </c:pt>
                <c:pt idx="112">
                  <c:v>2104500</c:v>
                </c:pt>
                <c:pt idx="113">
                  <c:v>1393000</c:v>
                </c:pt>
                <c:pt idx="114">
                  <c:v>550000</c:v>
                </c:pt>
                <c:pt idx="115">
                  <c:v>2750000</c:v>
                </c:pt>
                <c:pt idx="116">
                  <c:v>750000</c:v>
                </c:pt>
                <c:pt idx="117">
                  <c:v>1135000</c:v>
                </c:pt>
                <c:pt idx="118">
                  <c:v>650000</c:v>
                </c:pt>
                <c:pt idx="119">
                  <c:v>750000</c:v>
                </c:pt>
                <c:pt idx="120">
                  <c:v>6129200</c:v>
                </c:pt>
                <c:pt idx="121">
                  <c:v>900000</c:v>
                </c:pt>
                <c:pt idx="122">
                  <c:v>4443200</c:v>
                </c:pt>
                <c:pt idx="123">
                  <c:v>2050000</c:v>
                </c:pt>
                <c:pt idx="124">
                  <c:v>1457500</c:v>
                </c:pt>
                <c:pt idx="125">
                  <c:v>640000</c:v>
                </c:pt>
                <c:pt idx="126">
                  <c:v>660000</c:v>
                </c:pt>
                <c:pt idx="127">
                  <c:v>1500000</c:v>
                </c:pt>
                <c:pt idx="128">
                  <c:v>1050000</c:v>
                </c:pt>
                <c:pt idx="129">
                  <c:v>1840000</c:v>
                </c:pt>
                <c:pt idx="130">
                  <c:v>570000</c:v>
                </c:pt>
                <c:pt idx="131">
                  <c:v>650000</c:v>
                </c:pt>
                <c:pt idx="132">
                  <c:v>1619500</c:v>
                </c:pt>
                <c:pt idx="133">
                  <c:v>2960000</c:v>
                </c:pt>
                <c:pt idx="134">
                  <c:v>6550000</c:v>
                </c:pt>
                <c:pt idx="135">
                  <c:v>1770000</c:v>
                </c:pt>
                <c:pt idx="136">
                  <c:v>5110000</c:v>
                </c:pt>
                <c:pt idx="137">
                  <c:v>2460000</c:v>
                </c:pt>
                <c:pt idx="138">
                  <c:v>1020000</c:v>
                </c:pt>
                <c:pt idx="139">
                  <c:v>2300000</c:v>
                </c:pt>
                <c:pt idx="140">
                  <c:v>1200000</c:v>
                </c:pt>
                <c:pt idx="141">
                  <c:v>2580000</c:v>
                </c:pt>
                <c:pt idx="142">
                  <c:v>700000</c:v>
                </c:pt>
                <c:pt idx="143">
                  <c:v>650000</c:v>
                </c:pt>
                <c:pt idx="144">
                  <c:v>2990000</c:v>
                </c:pt>
                <c:pt idx="145">
                  <c:v>490000</c:v>
                </c:pt>
                <c:pt idx="146">
                  <c:v>780000</c:v>
                </c:pt>
                <c:pt idx="147">
                  <c:v>1815800</c:v>
                </c:pt>
                <c:pt idx="148">
                  <c:v>2970000</c:v>
                </c:pt>
                <c:pt idx="149">
                  <c:v>1700000</c:v>
                </c:pt>
                <c:pt idx="150">
                  <c:v>560000</c:v>
                </c:pt>
                <c:pt idx="151">
                  <c:v>1250000</c:v>
                </c:pt>
                <c:pt idx="152">
                  <c:v>848300</c:v>
                </c:pt>
                <c:pt idx="153">
                  <c:v>702500</c:v>
                </c:pt>
                <c:pt idx="154">
                  <c:v>5352500</c:v>
                </c:pt>
                <c:pt idx="155">
                  <c:v>1200000</c:v>
                </c:pt>
                <c:pt idx="156">
                  <c:v>2800000</c:v>
                </c:pt>
                <c:pt idx="157">
                  <c:v>2050000</c:v>
                </c:pt>
                <c:pt idx="158">
                  <c:v>2600000</c:v>
                </c:pt>
                <c:pt idx="159">
                  <c:v>700000</c:v>
                </c:pt>
                <c:pt idx="160">
                  <c:v>913100</c:v>
                </c:pt>
                <c:pt idx="161">
                  <c:v>2480000</c:v>
                </c:pt>
                <c:pt idx="162">
                  <c:v>660000</c:v>
                </c:pt>
                <c:pt idx="163">
                  <c:v>833000</c:v>
                </c:pt>
                <c:pt idx="164">
                  <c:v>780000</c:v>
                </c:pt>
                <c:pt idx="165">
                  <c:v>750000</c:v>
                </c:pt>
                <c:pt idx="166">
                  <c:v>890000</c:v>
                </c:pt>
                <c:pt idx="167">
                  <c:v>1100000</c:v>
                </c:pt>
                <c:pt idx="168">
                  <c:v>1485400</c:v>
                </c:pt>
                <c:pt idx="169">
                  <c:v>1850000</c:v>
                </c:pt>
                <c:pt idx="170">
                  <c:v>2628000</c:v>
                </c:pt>
                <c:pt idx="171">
                  <c:v>800000</c:v>
                </c:pt>
                <c:pt idx="172">
                  <c:v>1100000</c:v>
                </c:pt>
                <c:pt idx="173">
                  <c:v>1500000</c:v>
                </c:pt>
                <c:pt idx="174">
                  <c:v>745000</c:v>
                </c:pt>
                <c:pt idx="175">
                  <c:v>1711500</c:v>
                </c:pt>
                <c:pt idx="176">
                  <c:v>13840000</c:v>
                </c:pt>
                <c:pt idx="177">
                  <c:v>1600000</c:v>
                </c:pt>
                <c:pt idx="178">
                  <c:v>2900000</c:v>
                </c:pt>
                <c:pt idx="179">
                  <c:v>484800</c:v>
                </c:pt>
                <c:pt idx="180">
                  <c:v>630000</c:v>
                </c:pt>
                <c:pt idx="181">
                  <c:v>3750000</c:v>
                </c:pt>
                <c:pt idx="182">
                  <c:v>3650000</c:v>
                </c:pt>
                <c:pt idx="183">
                  <c:v>2600000</c:v>
                </c:pt>
                <c:pt idx="184">
                  <c:v>622800</c:v>
                </c:pt>
                <c:pt idx="185">
                  <c:v>6600000</c:v>
                </c:pt>
                <c:pt idx="186">
                  <c:v>2950000</c:v>
                </c:pt>
                <c:pt idx="187">
                  <c:v>750000</c:v>
                </c:pt>
                <c:pt idx="188">
                  <c:v>2350000</c:v>
                </c:pt>
                <c:pt idx="189">
                  <c:v>2650000</c:v>
                </c:pt>
                <c:pt idx="190">
                  <c:v>11976300</c:v>
                </c:pt>
                <c:pt idx="191">
                  <c:v>480000</c:v>
                </c:pt>
                <c:pt idx="192">
                  <c:v>429000</c:v>
                </c:pt>
                <c:pt idx="193">
                  <c:v>1080000</c:v>
                </c:pt>
                <c:pt idx="194">
                  <c:v>580000</c:v>
                </c:pt>
                <c:pt idx="195">
                  <c:v>620000</c:v>
                </c:pt>
                <c:pt idx="196">
                  <c:v>650000</c:v>
                </c:pt>
                <c:pt idx="197">
                  <c:v>1150000</c:v>
                </c:pt>
                <c:pt idx="198">
                  <c:v>640000</c:v>
                </c:pt>
                <c:pt idx="199">
                  <c:v>480000</c:v>
                </c:pt>
                <c:pt idx="200">
                  <c:v>783400</c:v>
                </c:pt>
                <c:pt idx="201">
                  <c:v>550000</c:v>
                </c:pt>
                <c:pt idx="202">
                  <c:v>1150000</c:v>
                </c:pt>
                <c:pt idx="203">
                  <c:v>2400000</c:v>
                </c:pt>
                <c:pt idx="204">
                  <c:v>740000</c:v>
                </c:pt>
                <c:pt idx="205">
                  <c:v>520000</c:v>
                </c:pt>
                <c:pt idx="206">
                  <c:v>900000</c:v>
                </c:pt>
                <c:pt idx="207">
                  <c:v>1000000</c:v>
                </c:pt>
                <c:pt idx="208">
                  <c:v>1310000</c:v>
                </c:pt>
                <c:pt idx="209">
                  <c:v>3700000</c:v>
                </c:pt>
                <c:pt idx="210">
                  <c:v>770000</c:v>
                </c:pt>
                <c:pt idx="211">
                  <c:v>750000</c:v>
                </c:pt>
                <c:pt idx="212">
                  <c:v>12231300</c:v>
                </c:pt>
                <c:pt idx="213">
                  <c:v>2400000</c:v>
                </c:pt>
                <c:pt idx="214">
                  <c:v>1420000</c:v>
                </c:pt>
                <c:pt idx="215">
                  <c:v>870000</c:v>
                </c:pt>
                <c:pt idx="216">
                  <c:v>2070000</c:v>
                </c:pt>
                <c:pt idx="217">
                  <c:v>682900</c:v>
                </c:pt>
                <c:pt idx="218">
                  <c:v>2150000</c:v>
                </c:pt>
                <c:pt idx="219">
                  <c:v>860000</c:v>
                </c:pt>
                <c:pt idx="220">
                  <c:v>4374300</c:v>
                </c:pt>
                <c:pt idx="221">
                  <c:v>850000</c:v>
                </c:pt>
                <c:pt idx="222">
                  <c:v>659900</c:v>
                </c:pt>
                <c:pt idx="223">
                  <c:v>1880000</c:v>
                </c:pt>
                <c:pt idx="224">
                  <c:v>950000</c:v>
                </c:pt>
                <c:pt idx="225">
                  <c:v>600000</c:v>
                </c:pt>
                <c:pt idx="226">
                  <c:v>670000</c:v>
                </c:pt>
                <c:pt idx="227">
                  <c:v>6695000</c:v>
                </c:pt>
                <c:pt idx="228">
                  <c:v>18527400</c:v>
                </c:pt>
                <c:pt idx="229">
                  <c:v>980000</c:v>
                </c:pt>
                <c:pt idx="230">
                  <c:v>480000</c:v>
                </c:pt>
                <c:pt idx="231">
                  <c:v>1600000</c:v>
                </c:pt>
                <c:pt idx="232">
                  <c:v>4679550</c:v>
                </c:pt>
                <c:pt idx="233">
                  <c:v>1150000</c:v>
                </c:pt>
                <c:pt idx="234">
                  <c:v>5570000</c:v>
                </c:pt>
                <c:pt idx="235">
                  <c:v>476143950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955D-4ED7-8400-8206F22AE439}"/>
            </c:ext>
          </c:extLst>
        </c:ser>
        <c:dLbls>
          <c:showLegendKey val="0"/>
          <c:showVal val="0"/>
          <c:showCatName val="0"/>
          <c:showSerName val="0"/>
          <c:showPercent val="0"/>
          <c:showBubbleSize val="0"/>
        </c:dLbls>
        <c:gapWidth val="150"/>
        <c:axId val="391132041"/>
        <c:axId val="509958067"/>
      </c:barChart>
      <c:catAx>
        <c:axId val="391132041"/>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509958067"/>
        <c:crosses val="autoZero"/>
        <c:auto val="1"/>
        <c:lblAlgn val="ctr"/>
        <c:lblOffset val="100"/>
        <c:noMultiLvlLbl val="1"/>
      </c:catAx>
      <c:valAx>
        <c:axId val="50995806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391132041"/>
        <c:crosses val="autoZero"/>
        <c:crossBetween val="between"/>
      </c:valAx>
    </c:plotArea>
    <c:legend>
      <c:legendPos val="r"/>
      <c:overlay val="0"/>
      <c:txPr>
        <a:bodyPr/>
        <a:lstStyle/>
        <a:p>
          <a:pPr lvl="0">
            <a:defRPr sz="900" b="0" i="0">
              <a:solidFill>
                <a:schemeClr val="lt1"/>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rgbClr val="757575"/>
                </a:solidFill>
                <a:latin typeface="+mn-lt"/>
              </a:defRPr>
            </a:pPr>
            <a:r>
              <a:rPr lang="en-IN" sz="1800" b="1" i="0">
                <a:solidFill>
                  <a:srgbClr val="757575"/>
                </a:solidFill>
                <a:latin typeface="+mn-lt"/>
              </a:rPr>
              <a:t>Average Price by Area Type</a:t>
            </a:r>
          </a:p>
        </c:rich>
      </c:tx>
      <c:overlay val="0"/>
    </c:title>
    <c:autoTitleDeleted val="0"/>
    <c:plotArea>
      <c:layout/>
      <c:pieChart>
        <c:varyColors val="1"/>
        <c:ser>
          <c:idx val="0"/>
          <c:order val="0"/>
          <c:tx>
            <c:strRef>
              <c:f>Sheet1!$B$492</c:f>
              <c:strCache>
                <c:ptCount val="1"/>
                <c:pt idx="0">
                  <c:v>Average of PRICE</c:v>
                </c:pt>
              </c:strCache>
            </c:strRef>
          </c:tx>
          <c:dPt>
            <c:idx val="0"/>
            <c:bubble3D val="0"/>
            <c:spPr>
              <a:solidFill>
                <a:schemeClr val="accent1"/>
              </a:solidFill>
            </c:spPr>
            <c:extLst>
              <c:ext xmlns:c16="http://schemas.microsoft.com/office/drawing/2014/chart" uri="{C3380CC4-5D6E-409C-BE32-E72D297353CC}">
                <c16:uniqueId val="{00000001-D942-4BA5-9BB3-5059C9ADE861}"/>
              </c:ext>
            </c:extLst>
          </c:dPt>
          <c:dPt>
            <c:idx val="1"/>
            <c:bubble3D val="0"/>
            <c:spPr>
              <a:solidFill>
                <a:schemeClr val="accent2"/>
              </a:solidFill>
            </c:spPr>
            <c:extLst>
              <c:ext xmlns:c16="http://schemas.microsoft.com/office/drawing/2014/chart" uri="{C3380CC4-5D6E-409C-BE32-E72D297353CC}">
                <c16:uniqueId val="{00000003-D942-4BA5-9BB3-5059C9ADE861}"/>
              </c:ext>
            </c:extLst>
          </c:dPt>
          <c:dPt>
            <c:idx val="2"/>
            <c:bubble3D val="0"/>
            <c:spPr>
              <a:solidFill>
                <a:schemeClr val="accent3"/>
              </a:solidFill>
            </c:spPr>
            <c:extLst>
              <c:ext xmlns:c16="http://schemas.microsoft.com/office/drawing/2014/chart" uri="{C3380CC4-5D6E-409C-BE32-E72D297353CC}">
                <c16:uniqueId val="{00000005-D942-4BA5-9BB3-5059C9ADE861}"/>
              </c:ext>
            </c:extLst>
          </c:dPt>
          <c:dPt>
            <c:idx val="3"/>
            <c:bubble3D val="0"/>
            <c:spPr>
              <a:solidFill>
                <a:srgbClr val="FFC000"/>
              </a:solidFill>
            </c:spPr>
            <c:extLst>
              <c:ext xmlns:c16="http://schemas.microsoft.com/office/drawing/2014/chart" uri="{C3380CC4-5D6E-409C-BE32-E72D297353CC}">
                <c16:uniqueId val="{00000007-D942-4BA5-9BB3-5059C9ADE861}"/>
              </c:ext>
            </c:extLst>
          </c:dPt>
          <c:cat>
            <c:strRef>
              <c:f>Sheet1!$A$493:$A$496</c:f>
              <c:strCache>
                <c:ptCount val="4"/>
                <c:pt idx="0">
                  <c:v>Large</c:v>
                </c:pt>
                <c:pt idx="1">
                  <c:v>Medium</c:v>
                </c:pt>
                <c:pt idx="2">
                  <c:v>Small</c:v>
                </c:pt>
                <c:pt idx="3">
                  <c:v>Grand Total</c:v>
                </c:pt>
              </c:strCache>
            </c:strRef>
          </c:cat>
          <c:val>
            <c:numRef>
              <c:f>Sheet1!$B$493:$B$496</c:f>
              <c:numCache>
                <c:formatCode>General</c:formatCode>
                <c:ptCount val="4"/>
                <c:pt idx="0">
                  <c:v>2996879.0419161678</c:v>
                </c:pt>
                <c:pt idx="1">
                  <c:v>850478.2828282828</c:v>
                </c:pt>
                <c:pt idx="2">
                  <c:v>504071.57360406092</c:v>
                </c:pt>
                <c:pt idx="3">
                  <c:v>1081718.764940239</c:v>
                </c:pt>
              </c:numCache>
            </c:numRef>
          </c:val>
          <c:extLst>
            <c:ext xmlns:c16="http://schemas.microsoft.com/office/drawing/2014/chart" uri="{C3380CC4-5D6E-409C-BE32-E72D297353CC}">
              <c16:uniqueId val="{00000008-D942-4BA5-9BB3-5059C9ADE861}"/>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Average Price by Area Type</a:t>
            </a:r>
          </a:p>
        </c:rich>
      </c:tx>
      <c:overlay val="0"/>
    </c:title>
    <c:autoTitleDeleted val="0"/>
    <c:plotArea>
      <c:layout/>
      <c:pieChart>
        <c:varyColors val="1"/>
        <c:ser>
          <c:idx val="0"/>
          <c:order val="0"/>
          <c:tx>
            <c:strRef>
              <c:f>Sheet1!$B$965:$B$966</c:f>
              <c:strCache>
                <c:ptCount val="2"/>
                <c:pt idx="0">
                  <c:v>Column Labels</c:v>
                </c:pt>
                <c:pt idx="1">
                  <c:v>0</c:v>
                </c:pt>
              </c:strCache>
            </c:strRef>
          </c:tx>
          <c:dPt>
            <c:idx val="0"/>
            <c:bubble3D val="0"/>
            <c:spPr>
              <a:solidFill>
                <a:schemeClr val="accent1"/>
              </a:solidFill>
            </c:spPr>
            <c:extLst>
              <c:ext xmlns:c16="http://schemas.microsoft.com/office/drawing/2014/chart" uri="{C3380CC4-5D6E-409C-BE32-E72D297353CC}">
                <c16:uniqueId val="{00000001-D8C3-4763-821C-F13EB31B8F5C}"/>
              </c:ext>
            </c:extLst>
          </c:dPt>
          <c:dPt>
            <c:idx val="1"/>
            <c:bubble3D val="0"/>
            <c:spPr>
              <a:solidFill>
                <a:schemeClr val="accent2"/>
              </a:solidFill>
            </c:spPr>
            <c:extLst>
              <c:ext xmlns:c16="http://schemas.microsoft.com/office/drawing/2014/chart" uri="{C3380CC4-5D6E-409C-BE32-E72D297353CC}">
                <c16:uniqueId val="{00000003-D8C3-4763-821C-F13EB31B8F5C}"/>
              </c:ext>
            </c:extLst>
          </c:dPt>
          <c:dPt>
            <c:idx val="2"/>
            <c:bubble3D val="0"/>
            <c:spPr>
              <a:solidFill>
                <a:schemeClr val="accent3"/>
              </a:solidFill>
            </c:spPr>
            <c:extLst>
              <c:ext xmlns:c16="http://schemas.microsoft.com/office/drawing/2014/chart" uri="{C3380CC4-5D6E-409C-BE32-E72D297353CC}">
                <c16:uniqueId val="{00000005-D8C3-4763-821C-F13EB31B8F5C}"/>
              </c:ext>
            </c:extLst>
          </c:dPt>
          <c:dPt>
            <c:idx val="3"/>
            <c:bubble3D val="0"/>
            <c:spPr>
              <a:solidFill>
                <a:schemeClr val="accent4"/>
              </a:solidFill>
            </c:spPr>
            <c:extLst>
              <c:ext xmlns:c16="http://schemas.microsoft.com/office/drawing/2014/chart" uri="{C3380CC4-5D6E-409C-BE32-E72D297353CC}">
                <c16:uniqueId val="{00000007-D8C3-4763-821C-F13EB31B8F5C}"/>
              </c:ext>
            </c:extLst>
          </c:dPt>
          <c:dPt>
            <c:idx val="4"/>
            <c:bubble3D val="0"/>
            <c:spPr>
              <a:solidFill>
                <a:schemeClr val="accent5"/>
              </a:solidFill>
            </c:spPr>
            <c:extLst>
              <c:ext xmlns:c16="http://schemas.microsoft.com/office/drawing/2014/chart" uri="{C3380CC4-5D6E-409C-BE32-E72D297353CC}">
                <c16:uniqueId val="{00000009-D8C3-4763-821C-F13EB31B8F5C}"/>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Sheet1!$A$967:$A$971</c:f>
              <c:strCache>
                <c:ptCount val="5"/>
                <c:pt idx="0">
                  <c:v>2</c:v>
                </c:pt>
                <c:pt idx="1">
                  <c:v>3</c:v>
                </c:pt>
                <c:pt idx="2">
                  <c:v>4</c:v>
                </c:pt>
                <c:pt idx="3">
                  <c:v>5</c:v>
                </c:pt>
                <c:pt idx="4">
                  <c:v>Grand Total</c:v>
                </c:pt>
              </c:strCache>
            </c:strRef>
          </c:cat>
          <c:val>
            <c:numRef>
              <c:f>Sheet1!$B$967:$B$971</c:f>
              <c:numCache>
                <c:formatCode>General</c:formatCode>
                <c:ptCount val="5"/>
                <c:pt idx="0">
                  <c:v>100327500</c:v>
                </c:pt>
                <c:pt idx="1">
                  <c:v>343263350</c:v>
                </c:pt>
                <c:pt idx="2">
                  <c:v>28933100</c:v>
                </c:pt>
                <c:pt idx="3">
                  <c:v>3620000</c:v>
                </c:pt>
                <c:pt idx="4">
                  <c:v>476143950</c:v>
                </c:pt>
              </c:numCache>
            </c:numRef>
          </c:val>
          <c:extLst>
            <c:ext xmlns:c16="http://schemas.microsoft.com/office/drawing/2014/chart" uri="{C3380CC4-5D6E-409C-BE32-E72D297353CC}">
              <c16:uniqueId val="{0000000A-D8C3-4763-821C-F13EB31B8F5C}"/>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lt1"/>
                </a:solidFill>
                <a:latin typeface="+mn-lt"/>
              </a:defRPr>
            </a:pPr>
            <a:r>
              <a:rPr lang="en-IN" sz="1600" b="1" i="0">
                <a:solidFill>
                  <a:schemeClr val="lt1"/>
                </a:solidFill>
                <a:latin typeface="+mn-lt"/>
              </a:rPr>
              <a:t>Price by Room &amp; Bath</a:t>
            </a:r>
          </a:p>
        </c:rich>
      </c:tx>
      <c:overlay val="0"/>
    </c:title>
    <c:autoTitleDeleted val="0"/>
    <c:plotArea>
      <c:layout/>
      <c:barChart>
        <c:barDir val="col"/>
        <c:grouping val="stacked"/>
        <c:varyColors val="1"/>
        <c:ser>
          <c:idx val="0"/>
          <c:order val="0"/>
          <c:tx>
            <c:v>2</c:v>
          </c:tx>
          <c:spPr>
            <a:solidFill>
              <a:srgbClr val="4472C4"/>
            </a:solidFill>
            <a:ln cmpd="sng">
              <a:solidFill>
                <a:srgbClr val="000000"/>
              </a:solidFill>
            </a:ln>
          </c:spPr>
          <c:invertIfNegative val="1"/>
          <c:cat>
            <c:strRef>
              <c:f>Sheet1!$A$987:$A$988</c:f>
              <c:strCache>
                <c:ptCount val="2"/>
                <c:pt idx="0">
                  <c:v>3 </c:v>
                </c:pt>
                <c:pt idx="1">
                  <c:v>Grand Total</c:v>
                </c:pt>
              </c:strCache>
            </c:strRef>
          </c:cat>
          <c:val>
            <c:numRef>
              <c:f>Sheet1!$B$987:$B$988</c:f>
              <c:numCache>
                <c:formatCode>General</c:formatCode>
                <c:ptCount val="2"/>
                <c:pt idx="0">
                  <c:v>100327500</c:v>
                </c:pt>
                <c:pt idx="1">
                  <c:v>100327500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AD0-4CCB-AE04-C59008137EB8}"/>
            </c:ext>
          </c:extLst>
        </c:ser>
        <c:ser>
          <c:idx val="1"/>
          <c:order val="1"/>
          <c:tx>
            <c:v>3</c:v>
          </c:tx>
          <c:spPr>
            <a:solidFill>
              <a:srgbClr val="ED7D31"/>
            </a:solidFill>
            <a:ln cmpd="sng">
              <a:solidFill>
                <a:srgbClr val="000000"/>
              </a:solidFill>
            </a:ln>
          </c:spPr>
          <c:invertIfNegative val="1"/>
          <c:cat>
            <c:strRef>
              <c:f>Sheet1!$A$987:$A$988</c:f>
              <c:strCache>
                <c:ptCount val="2"/>
                <c:pt idx="0">
                  <c:v>3 </c:v>
                </c:pt>
                <c:pt idx="1">
                  <c:v>Grand Total</c:v>
                </c:pt>
              </c:strCache>
            </c:strRef>
          </c:cat>
          <c:val>
            <c:numRef>
              <c:f>Sheet1!$C$987:$C$988</c:f>
              <c:numCache>
                <c:formatCode>General</c:formatCode>
                <c:ptCount val="2"/>
                <c:pt idx="0">
                  <c:v>343263350</c:v>
                </c:pt>
                <c:pt idx="1">
                  <c:v>343263350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5AD0-4CCB-AE04-C59008137EB8}"/>
            </c:ext>
          </c:extLst>
        </c:ser>
        <c:ser>
          <c:idx val="2"/>
          <c:order val="2"/>
          <c:tx>
            <c:v>4</c:v>
          </c:tx>
          <c:spPr>
            <a:solidFill>
              <a:srgbClr val="A5A5A5"/>
            </a:solidFill>
            <a:ln cmpd="sng">
              <a:solidFill>
                <a:srgbClr val="000000"/>
              </a:solidFill>
            </a:ln>
          </c:spPr>
          <c:invertIfNegative val="1"/>
          <c:cat>
            <c:strRef>
              <c:f>Sheet1!$A$987:$A$988</c:f>
              <c:strCache>
                <c:ptCount val="2"/>
                <c:pt idx="0">
                  <c:v>3 </c:v>
                </c:pt>
                <c:pt idx="1">
                  <c:v>Grand Total</c:v>
                </c:pt>
              </c:strCache>
            </c:strRef>
          </c:cat>
          <c:val>
            <c:numRef>
              <c:f>Sheet1!$D$987:$D$988</c:f>
              <c:numCache>
                <c:formatCode>General</c:formatCode>
                <c:ptCount val="2"/>
                <c:pt idx="0">
                  <c:v>28933100</c:v>
                </c:pt>
                <c:pt idx="1">
                  <c:v>28933100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5AD0-4CCB-AE04-C59008137EB8}"/>
            </c:ext>
          </c:extLst>
        </c:ser>
        <c:ser>
          <c:idx val="3"/>
          <c:order val="3"/>
          <c:tx>
            <c:v>5</c:v>
          </c:tx>
          <c:spPr>
            <a:solidFill>
              <a:srgbClr val="FFC000"/>
            </a:solidFill>
            <a:ln cmpd="sng">
              <a:solidFill>
                <a:srgbClr val="000000"/>
              </a:solidFill>
            </a:ln>
          </c:spPr>
          <c:invertIfNegative val="1"/>
          <c:cat>
            <c:strRef>
              <c:f>Sheet1!$A$987:$A$988</c:f>
              <c:strCache>
                <c:ptCount val="2"/>
                <c:pt idx="0">
                  <c:v>3 </c:v>
                </c:pt>
                <c:pt idx="1">
                  <c:v>Grand Total</c:v>
                </c:pt>
              </c:strCache>
            </c:strRef>
          </c:cat>
          <c:val>
            <c:numRef>
              <c:f>Sheet1!$E$987:$E$988</c:f>
              <c:numCache>
                <c:formatCode>General</c:formatCode>
                <c:ptCount val="2"/>
                <c:pt idx="0">
                  <c:v>3620000</c:v>
                </c:pt>
                <c:pt idx="1">
                  <c:v>3620000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5AD0-4CCB-AE04-C59008137EB8}"/>
            </c:ext>
          </c:extLst>
        </c:ser>
        <c:dLbls>
          <c:showLegendKey val="0"/>
          <c:showVal val="0"/>
          <c:showCatName val="0"/>
          <c:showSerName val="0"/>
          <c:showPercent val="0"/>
          <c:showBubbleSize val="0"/>
        </c:dLbls>
        <c:gapWidth val="150"/>
        <c:overlap val="100"/>
        <c:axId val="682478499"/>
        <c:axId val="908336827"/>
      </c:barChart>
      <c:catAx>
        <c:axId val="682478499"/>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chemeClr val="lt1"/>
                </a:solidFill>
                <a:latin typeface="+mn-lt"/>
              </a:defRPr>
            </a:pPr>
            <a:endParaRPr lang="en-US"/>
          </a:p>
        </c:txPr>
        <c:crossAx val="908336827"/>
        <c:crosses val="autoZero"/>
        <c:auto val="1"/>
        <c:lblAlgn val="ctr"/>
        <c:lblOffset val="100"/>
        <c:noMultiLvlLbl val="1"/>
      </c:catAx>
      <c:valAx>
        <c:axId val="908336827"/>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chemeClr val="lt1"/>
                </a:solidFill>
                <a:latin typeface="+mn-lt"/>
              </a:defRPr>
            </a:pPr>
            <a:endParaRPr lang="en-US"/>
          </a:p>
        </c:txPr>
        <c:crossAx val="682478499"/>
        <c:crosses val="autoZero"/>
        <c:crossBetween val="between"/>
      </c:valAx>
    </c:plotArea>
    <c:legend>
      <c:legendPos val="r"/>
      <c:overlay val="0"/>
      <c:txPr>
        <a:bodyPr/>
        <a:lstStyle/>
        <a:p>
          <a:pPr lvl="0">
            <a:defRPr sz="900" b="0" i="0">
              <a:solidFill>
                <a:schemeClr val="lt1"/>
              </a:solidFill>
              <a:latin typeface="+mn-lt"/>
            </a:defRPr>
          </a:pPr>
          <a:endParaRPr lang="en-US"/>
        </a:p>
      </c:txPr>
    </c:legend>
    <c:plotVisOnly val="1"/>
    <c:dispBlanksAs val="zero"/>
    <c:showDLblsOverMax val="1"/>
  </c:chart>
  <c:spPr>
    <a:solidFill>
      <a:schemeClr val="dk1"/>
    </a:solidFill>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600" b="1" i="0">
                <a:solidFill>
                  <a:schemeClr val="dk1"/>
                </a:solidFill>
                <a:latin typeface="Calibri Light"/>
              </a:defRPr>
            </a:pPr>
            <a:r>
              <a:rPr lang="en-IN" sz="1600" b="1" i="0">
                <a:solidFill>
                  <a:schemeClr val="dk1"/>
                </a:solidFill>
                <a:latin typeface="Calibri Light"/>
              </a:rPr>
              <a:t>Total Sqft &amp; Price</a:t>
            </a:r>
          </a:p>
        </c:rich>
      </c:tx>
      <c:layout>
        <c:manualLayout>
          <c:xMode val="edge"/>
          <c:yMode val="edge"/>
          <c:x val="0.35252955002939634"/>
          <c:y val="7.7682997958588504E-2"/>
        </c:manualLayout>
      </c:layout>
      <c:overlay val="0"/>
    </c:title>
    <c:autoTitleDeleted val="0"/>
    <c:plotArea>
      <c:layout/>
      <c:lineChart>
        <c:grouping val="standard"/>
        <c:varyColors val="1"/>
        <c:ser>
          <c:idx val="0"/>
          <c:order val="0"/>
          <c:tx>
            <c:v>Sum of PRICE</c:v>
          </c:tx>
          <c:spPr>
            <a:ln w="19050" cmpd="sng">
              <a:solidFill>
                <a:schemeClr val="accent1"/>
              </a:solidFill>
            </a:ln>
          </c:spPr>
          <c:marker>
            <c:symbol val="circle"/>
            <c:size val="6"/>
            <c:spPr>
              <a:solidFill>
                <a:schemeClr val="accent1"/>
              </a:solidFill>
              <a:ln cmpd="sng">
                <a:solidFill>
                  <a:schemeClr val="accent1"/>
                </a:solidFill>
              </a:ln>
            </c:spPr>
          </c:marker>
          <c:cat>
            <c:strRef>
              <c:f>Sheet1!$A$504:$A$739</c:f>
              <c:strCache>
                <c:ptCount val="236"/>
                <c:pt idx="0">
                  <c:v>1st Block Jayanagar</c:v>
                </c:pt>
                <c:pt idx="1">
                  <c:v>2nd Block Hrbr Layout</c:v>
                </c:pt>
                <c:pt idx="2">
                  <c:v>2nd Phase JP Nagar</c:v>
                </c:pt>
                <c:pt idx="3">
                  <c:v>6th block banashankari 3rd stage, 100 feet ORR</c:v>
                </c:pt>
                <c:pt idx="4">
                  <c:v>7th Phase JP Nagar</c:v>
                </c:pt>
                <c:pt idx="5">
                  <c:v>8th block Koramangala</c:v>
                </c:pt>
                <c:pt idx="6">
                  <c:v>8th Phase JP Nagar</c:v>
                </c:pt>
                <c:pt idx="7">
                  <c:v>AECS Layout</c:v>
                </c:pt>
                <c:pt idx="8">
                  <c:v>Akshaya Nagar</c:v>
                </c:pt>
                <c:pt idx="9">
                  <c:v>Ambalipura</c:v>
                </c:pt>
                <c:pt idx="10">
                  <c:v>Ambedkar Colony</c:v>
                </c:pt>
                <c:pt idx="11">
                  <c:v>Ambedkar Nagar</c:v>
                </c:pt>
                <c:pt idx="12">
                  <c:v>Amco Colony</c:v>
                </c:pt>
                <c:pt idx="13">
                  <c:v>Anjanapura</c:v>
                </c:pt>
                <c:pt idx="14">
                  <c:v>Ardendale</c:v>
                </c:pt>
                <c:pt idx="15">
                  <c:v>Arekere</c:v>
                </c:pt>
                <c:pt idx="16">
                  <c:v>Ashwath Nagar</c:v>
                </c:pt>
                <c:pt idx="17">
                  <c:v>Avalahalli</c:v>
                </c:pt>
                <c:pt idx="18">
                  <c:v>B Narayanapura</c:v>
                </c:pt>
                <c:pt idx="19">
                  <c:v>Babusapalaya</c:v>
                </c:pt>
                <c:pt idx="20">
                  <c:v>Balagere</c:v>
                </c:pt>
                <c:pt idx="21">
                  <c:v>Banashankari</c:v>
                </c:pt>
                <c:pt idx="22">
                  <c:v>Banashankari Stage III</c:v>
                </c:pt>
                <c:pt idx="23">
                  <c:v>Banashankari3rd stage bigbazar</c:v>
                </c:pt>
                <c:pt idx="24">
                  <c:v>Banjara Layout</c:v>
                </c:pt>
                <c:pt idx="25">
                  <c:v>Bannerghatta Road</c:v>
                </c:pt>
                <c:pt idx="26">
                  <c:v>Basavanagara</c:v>
                </c:pt>
                <c:pt idx="27">
                  <c:v>Basavanapura</c:v>
                </c:pt>
                <c:pt idx="28">
                  <c:v>Basavanna Nagar</c:v>
                </c:pt>
                <c:pt idx="29">
                  <c:v>Basaveshwara Nagar</c:v>
                </c:pt>
                <c:pt idx="30">
                  <c:v>Battarahalli</c:v>
                </c:pt>
                <c:pt idx="31">
                  <c:v>Begur Road</c:v>
                </c:pt>
                <c:pt idx="32">
                  <c:v>Bellandur</c:v>
                </c:pt>
                <c:pt idx="33">
                  <c:v>BEML Layout</c:v>
                </c:pt>
                <c:pt idx="34">
                  <c:v>Bendiganahalli</c:v>
                </c:pt>
                <c:pt idx="35">
                  <c:v>Bhoganhalli</c:v>
                </c:pt>
                <c:pt idx="36">
                  <c:v>Billekahalli</c:v>
                </c:pt>
                <c:pt idx="37">
                  <c:v>Binny Pete</c:v>
                </c:pt>
                <c:pt idx="38">
                  <c:v>Bisuvanahalli</c:v>
                </c:pt>
                <c:pt idx="39">
                  <c:v>Bommasandra</c:v>
                </c:pt>
                <c:pt idx="40">
                  <c:v>Bommasandra Industrial Area</c:v>
                </c:pt>
                <c:pt idx="41">
                  <c:v>Brookefield</c:v>
                </c:pt>
                <c:pt idx="42">
                  <c:v>Budigere</c:v>
                </c:pt>
                <c:pt idx="43">
                  <c:v>Bull Temple Road</c:v>
                </c:pt>
                <c:pt idx="44">
                  <c:v>Byatarayanapura</c:v>
                </c:pt>
                <c:pt idx="45">
                  <c:v>Canara Bank Layout</c:v>
                </c:pt>
                <c:pt idx="46">
                  <c:v>Chamrajpet</c:v>
                </c:pt>
                <c:pt idx="47">
                  <c:v>Chandapura</c:v>
                </c:pt>
                <c:pt idx="48">
                  <c:v>Chandra Layout</c:v>
                </c:pt>
                <c:pt idx="49">
                  <c:v>Channasandra</c:v>
                </c:pt>
                <c:pt idx="50">
                  <c:v>Chikkaballapur</c:v>
                </c:pt>
                <c:pt idx="51">
                  <c:v>Chikkalasandra</c:v>
                </c:pt>
                <c:pt idx="52">
                  <c:v>CHIKKATIRUPATHI</c:v>
                </c:pt>
                <c:pt idx="53">
                  <c:v>Cholanayakanahalli</c:v>
                </c:pt>
                <c:pt idx="54">
                  <c:v>Coffee Board Layout</c:v>
                </c:pt>
                <c:pt idx="55">
                  <c:v>Cox Town</c:v>
                </c:pt>
                <c:pt idx="56">
                  <c:v>CV Raman Nagar</c:v>
                </c:pt>
                <c:pt idx="57">
                  <c:v>Dairy Circle</c:v>
                </c:pt>
                <c:pt idx="58">
                  <c:v>Dasarahalli</c:v>
                </c:pt>
                <c:pt idx="59">
                  <c:v>Devanahalli</c:v>
                </c:pt>
                <c:pt idx="60">
                  <c:v>Devarachikkanahalli</c:v>
                </c:pt>
                <c:pt idx="61">
                  <c:v>Divya Unnathi Layout</c:v>
                </c:pt>
                <c:pt idx="62">
                  <c:v>Dodda Kempaiah Layout</c:v>
                </c:pt>
                <c:pt idx="63">
                  <c:v>Doddagubbi</c:v>
                </c:pt>
                <c:pt idx="64">
                  <c:v>Domlur</c:v>
                </c:pt>
                <c:pt idx="65">
                  <c:v>Dommasandra</c:v>
                </c:pt>
                <c:pt idx="66">
                  <c:v>Dooravani Nagar</c:v>
                </c:pt>
                <c:pt idx="67">
                  <c:v>Double Road</c:v>
                </c:pt>
                <c:pt idx="68">
                  <c:v>Dr Shivarama Karantha Nagar</c:v>
                </c:pt>
                <c:pt idx="69">
                  <c:v>Electronic City</c:v>
                </c:pt>
                <c:pt idx="70">
                  <c:v>Electronic City Phase II</c:v>
                </c:pt>
                <c:pt idx="71">
                  <c:v>Electronics City Phase 1</c:v>
                </c:pt>
                <c:pt idx="72">
                  <c:v>EPIP Zone</c:v>
                </c:pt>
                <c:pt idx="73">
                  <c:v>FARLAHM</c:v>
                </c:pt>
                <c:pt idx="74">
                  <c:v>Garudachar Palya</c:v>
                </c:pt>
                <c:pt idx="75">
                  <c:v>GM Palaya</c:v>
                </c:pt>
                <c:pt idx="76">
                  <c:v>Gopalapura</c:v>
                </c:pt>
                <c:pt idx="77">
                  <c:v>Gopalkrishna Nagar</c:v>
                </c:pt>
                <c:pt idx="78">
                  <c:v>Gottigere</c:v>
                </c:pt>
                <c:pt idx="79">
                  <c:v>Green Glen Layout</c:v>
                </c:pt>
                <c:pt idx="80">
                  <c:v>Gubbalala</c:v>
                </c:pt>
                <c:pt idx="81">
                  <c:v>Gunjur</c:v>
                </c:pt>
                <c:pt idx="82">
                  <c:v>Haralur Road</c:v>
                </c:pt>
                <c:pt idx="83">
                  <c:v>Harlur</c:v>
                </c:pt>
                <c:pt idx="84">
                  <c:v>Hebbal</c:v>
                </c:pt>
                <c:pt idx="85">
                  <c:v>Hebbal Kempapura</c:v>
                </c:pt>
                <c:pt idx="86">
                  <c:v>Hegde Nagar</c:v>
                </c:pt>
                <c:pt idx="87">
                  <c:v>Hennur Road</c:v>
                </c:pt>
                <c:pt idx="88">
                  <c:v>Herohalli</c:v>
                </c:pt>
                <c:pt idx="89">
                  <c:v>Hoodi</c:v>
                </c:pt>
                <c:pt idx="90">
                  <c:v>Hoodi Circle, </c:v>
                </c:pt>
                <c:pt idx="91">
                  <c:v>Horamavu Agara</c:v>
                </c:pt>
                <c:pt idx="92">
                  <c:v>Horamavu Banaswadi</c:v>
                </c:pt>
                <c:pt idx="93">
                  <c:v>Hosa Road</c:v>
                </c:pt>
                <c:pt idx="94">
                  <c:v>Hosahalli</c:v>
                </c:pt>
                <c:pt idx="95">
                  <c:v>Hosakerehalli</c:v>
                </c:pt>
                <c:pt idx="96">
                  <c:v>Hosur Road</c:v>
                </c:pt>
                <c:pt idx="97">
                  <c:v>Hoysalanagar</c:v>
                </c:pt>
                <c:pt idx="98">
                  <c:v>HSR Layout</c:v>
                </c:pt>
                <c:pt idx="99">
                  <c:v>Hulimavu</c:v>
                </c:pt>
                <c:pt idx="100">
                  <c:v>Huskur</c:v>
                </c:pt>
                <c:pt idx="101">
                  <c:v>Iblur Village</c:v>
                </c:pt>
                <c:pt idx="102">
                  <c:v>ITI Layout</c:v>
                </c:pt>
                <c:pt idx="103">
                  <c:v>ITPL</c:v>
                </c:pt>
                <c:pt idx="104">
                  <c:v>Jai Bheema Nagar</c:v>
                </c:pt>
                <c:pt idx="105">
                  <c:v>Jakkur</c:v>
                </c:pt>
                <c:pt idx="106">
                  <c:v>Jalahalli</c:v>
                </c:pt>
                <c:pt idx="107">
                  <c:v>Jalahalli East</c:v>
                </c:pt>
                <c:pt idx="108">
                  <c:v>Jaya Nagar East</c:v>
                </c:pt>
                <c:pt idx="109">
                  <c:v>Jigani</c:v>
                </c:pt>
                <c:pt idx="110">
                  <c:v>JP Nagar</c:v>
                </c:pt>
                <c:pt idx="111">
                  <c:v>K G Colony</c:v>
                </c:pt>
                <c:pt idx="112">
                  <c:v>Kadugodi</c:v>
                </c:pt>
                <c:pt idx="113">
                  <c:v>Kaggadasapura</c:v>
                </c:pt>
                <c:pt idx="114">
                  <c:v>Kaggalipura</c:v>
                </c:pt>
                <c:pt idx="115">
                  <c:v>Kalena Agrahara</c:v>
                </c:pt>
                <c:pt idx="116">
                  <c:v>Kalyan nagar</c:v>
                </c:pt>
                <c:pt idx="117">
                  <c:v>Kambipura</c:v>
                </c:pt>
                <c:pt idx="118">
                  <c:v>Kammasandra</c:v>
                </c:pt>
                <c:pt idx="119">
                  <c:v>Kanakapura</c:v>
                </c:pt>
                <c:pt idx="120">
                  <c:v>Kanakpura Road</c:v>
                </c:pt>
                <c:pt idx="121">
                  <c:v>Kariyammana Agrahara</c:v>
                </c:pt>
                <c:pt idx="122">
                  <c:v>Kasavanhalli</c:v>
                </c:pt>
                <c:pt idx="123">
                  <c:v>Kasturi Nagar</c:v>
                </c:pt>
                <c:pt idx="124">
                  <c:v>Kathriguppe</c:v>
                </c:pt>
                <c:pt idx="125">
                  <c:v>Kengeri</c:v>
                </c:pt>
                <c:pt idx="126">
                  <c:v>Kengeri Satellite Town</c:v>
                </c:pt>
                <c:pt idx="127">
                  <c:v>Keshava Nagar</c:v>
                </c:pt>
                <c:pt idx="128">
                  <c:v>Kodanda Reddy Layout</c:v>
                </c:pt>
                <c:pt idx="129">
                  <c:v>Kodbisanhalli</c:v>
                </c:pt>
                <c:pt idx="130">
                  <c:v>Kodichikkanahalli</c:v>
                </c:pt>
                <c:pt idx="131">
                  <c:v>Kodigehaali</c:v>
                </c:pt>
                <c:pt idx="132">
                  <c:v>Kogilu</c:v>
                </c:pt>
                <c:pt idx="133">
                  <c:v>Konanakunte</c:v>
                </c:pt>
                <c:pt idx="134">
                  <c:v>Koramangala</c:v>
                </c:pt>
                <c:pt idx="135">
                  <c:v>Kothannur</c:v>
                </c:pt>
                <c:pt idx="136">
                  <c:v>Kothanur</c:v>
                </c:pt>
                <c:pt idx="137">
                  <c:v>Kudlu Gate</c:v>
                </c:pt>
                <c:pt idx="138">
                  <c:v>KUDLU MAIN ROAD</c:v>
                </c:pt>
                <c:pt idx="139">
                  <c:v>Kundalahalli</c:v>
                </c:pt>
                <c:pt idx="140">
                  <c:v>Lakshmiamma Garden</c:v>
                </c:pt>
                <c:pt idx="141">
                  <c:v>Lakshminarayana Pura</c:v>
                </c:pt>
                <c:pt idx="142">
                  <c:v>Langford Town</c:v>
                </c:pt>
                <c:pt idx="143">
                  <c:v>LB Shastri Nagar</c:v>
                </c:pt>
                <c:pt idx="144">
                  <c:v>Lingadheeranahalli</c:v>
                </c:pt>
                <c:pt idx="145">
                  <c:v>Magadi Road</c:v>
                </c:pt>
                <c:pt idx="146">
                  <c:v>Mahadevpura</c:v>
                </c:pt>
                <c:pt idx="147">
                  <c:v>Mallasandra</c:v>
                </c:pt>
                <c:pt idx="148">
                  <c:v>Malleshwaram</c:v>
                </c:pt>
                <c:pt idx="149">
                  <c:v>Manayata Tech Park</c:v>
                </c:pt>
                <c:pt idx="150">
                  <c:v>Mangammanapalya</c:v>
                </c:pt>
                <c:pt idx="151">
                  <c:v>Mango Garden Layout</c:v>
                </c:pt>
                <c:pt idx="152">
                  <c:v>manyata park</c:v>
                </c:pt>
                <c:pt idx="153">
                  <c:v>Maragondanahalli</c:v>
                </c:pt>
                <c:pt idx="154">
                  <c:v>Marathahalli</c:v>
                </c:pt>
                <c:pt idx="155">
                  <c:v>Marathalli bridge</c:v>
                </c:pt>
                <c:pt idx="156">
                  <c:v>Meenakunte</c:v>
                </c:pt>
                <c:pt idx="157">
                  <c:v>MS Pallya</c:v>
                </c:pt>
                <c:pt idx="158">
                  <c:v>Muthurayya Swamy Layout</c:v>
                </c:pt>
                <c:pt idx="159">
                  <c:v>Mysore Highway</c:v>
                </c:pt>
                <c:pt idx="160">
                  <c:v>Mysore Road</c:v>
                </c:pt>
                <c:pt idx="161">
                  <c:v>Nagarbhavi</c:v>
                </c:pt>
                <c:pt idx="162">
                  <c:v>Nagondanahalli</c:v>
                </c:pt>
                <c:pt idx="163">
                  <c:v>Narayanapura</c:v>
                </c:pt>
                <c:pt idx="164">
                  <c:v>Ngef Layout</c:v>
                </c:pt>
                <c:pt idx="165">
                  <c:v>NRI Layout</c:v>
                </c:pt>
                <c:pt idx="166">
                  <c:v>Off Sarjapur Road, </c:v>
                </c:pt>
                <c:pt idx="167">
                  <c:v>Old Airport Road</c:v>
                </c:pt>
                <c:pt idx="168">
                  <c:v>Old Madras Road</c:v>
                </c:pt>
                <c:pt idx="169">
                  <c:v>OMBR Layout</c:v>
                </c:pt>
                <c:pt idx="170">
                  <c:v>Panathur</c:v>
                </c:pt>
                <c:pt idx="171">
                  <c:v>Pattandur Agrahara</c:v>
                </c:pt>
                <c:pt idx="172">
                  <c:v>Peenya</c:v>
                </c:pt>
                <c:pt idx="173">
                  <c:v>Prashanth Nagar</c:v>
                </c:pt>
                <c:pt idx="174">
                  <c:v>Rachenahalli</c:v>
                </c:pt>
                <c:pt idx="175">
                  <c:v>Raja Rajeshwari Nagar</c:v>
                </c:pt>
                <c:pt idx="176">
                  <c:v>Rajaji Nagar</c:v>
                </c:pt>
                <c:pt idx="177">
                  <c:v>Rajiv Nagar</c:v>
                </c:pt>
                <c:pt idx="178">
                  <c:v>Ramakrishnappa Layout</c:v>
                </c:pt>
                <c:pt idx="179">
                  <c:v>Ramanjaneyanagar</c:v>
                </c:pt>
                <c:pt idx="180">
                  <c:v>Rayasandra</c:v>
                </c:pt>
                <c:pt idx="181">
                  <c:v>Richmond Town</c:v>
                </c:pt>
                <c:pt idx="182">
                  <c:v>RMV</c:v>
                </c:pt>
                <c:pt idx="183">
                  <c:v>RMV Extension</c:v>
                </c:pt>
                <c:pt idx="184">
                  <c:v>RWF West Colony</c:v>
                </c:pt>
                <c:pt idx="185">
                  <c:v>Sadashiva Nagar</c:v>
                </c:pt>
                <c:pt idx="186">
                  <c:v>Sahakara Nagar</c:v>
                </c:pt>
                <c:pt idx="187">
                  <c:v>Sampigehalli</c:v>
                </c:pt>
                <c:pt idx="188">
                  <c:v>Sanjeevini Nagar</c:v>
                </c:pt>
                <c:pt idx="189">
                  <c:v>Sarjapur</c:v>
                </c:pt>
                <c:pt idx="190">
                  <c:v>Sarjapur  Road</c:v>
                </c:pt>
                <c:pt idx="191">
                  <c:v>Sarjapura - Attibele Road</c:v>
                </c:pt>
                <c:pt idx="192">
                  <c:v>Seegehalli</c:v>
                </c:pt>
                <c:pt idx="193">
                  <c:v>Shantiniketan Layout</c:v>
                </c:pt>
                <c:pt idx="194">
                  <c:v>Silk Board</c:v>
                </c:pt>
                <c:pt idx="195">
                  <c:v>Silver Springs Layout</c:v>
                </c:pt>
                <c:pt idx="196">
                  <c:v>Singasandra</c:v>
                </c:pt>
                <c:pt idx="197">
                  <c:v>Singena Agrahara</c:v>
                </c:pt>
                <c:pt idx="198">
                  <c:v>Somasundara Palya</c:v>
                </c:pt>
                <c:pt idx="199">
                  <c:v>Sompura</c:v>
                </c:pt>
                <c:pt idx="200">
                  <c:v>Srinivasa Nagar</c:v>
                </c:pt>
                <c:pt idx="201">
                  <c:v>Suddaguntepalya</c:v>
                </c:pt>
                <c:pt idx="202">
                  <c:v>Sunder Ram Shetty Nagar</c:v>
                </c:pt>
                <c:pt idx="203">
                  <c:v>Surabhi Layout</c:v>
                </c:pt>
                <c:pt idx="204">
                  <c:v>Suragajakkanahalli</c:v>
                </c:pt>
                <c:pt idx="205">
                  <c:v>Suraksha Nagar</c:v>
                </c:pt>
                <c:pt idx="206">
                  <c:v>T Dasarahalli</c:v>
                </c:pt>
                <c:pt idx="207">
                  <c:v>Tala Cauvery Layout</c:v>
                </c:pt>
                <c:pt idx="208">
                  <c:v>Talaghattapura</c:v>
                </c:pt>
                <c:pt idx="209">
                  <c:v>TC Palaya</c:v>
                </c:pt>
                <c:pt idx="210">
                  <c:v>Teachers Colony</c:v>
                </c:pt>
                <c:pt idx="211">
                  <c:v>Tejaswini Nagar</c:v>
                </c:pt>
                <c:pt idx="212">
                  <c:v>Thanisandra</c:v>
                </c:pt>
                <c:pt idx="213">
                  <c:v>Tharabanahalli</c:v>
                </c:pt>
                <c:pt idx="214">
                  <c:v>Thigalarapalya</c:v>
                </c:pt>
                <c:pt idx="215">
                  <c:v>Tindlu</c:v>
                </c:pt>
                <c:pt idx="216">
                  <c:v>Tumkur Road</c:v>
                </c:pt>
                <c:pt idx="217">
                  <c:v>Udayapur Village</c:v>
                </c:pt>
                <c:pt idx="218">
                  <c:v>Ulsoor</c:v>
                </c:pt>
                <c:pt idx="219">
                  <c:v>unkonwn</c:v>
                </c:pt>
                <c:pt idx="220">
                  <c:v>Uttarahalli</c:v>
                </c:pt>
                <c:pt idx="221">
                  <c:v>Vadarpalya</c:v>
                </c:pt>
                <c:pt idx="222">
                  <c:v>Varthur</c:v>
                </c:pt>
                <c:pt idx="223">
                  <c:v>Vasanth nagar</c:v>
                </c:pt>
                <c:pt idx="224">
                  <c:v>Vasantha Vallabha Nagar</c:v>
                </c:pt>
                <c:pt idx="225">
                  <c:v>Vasanthapura</c:v>
                </c:pt>
                <c:pt idx="226">
                  <c:v>Vidyaranyapura</c:v>
                </c:pt>
                <c:pt idx="227">
                  <c:v>Vijayanagar</c:v>
                </c:pt>
                <c:pt idx="228">
                  <c:v>Whitefield</c:v>
                </c:pt>
                <c:pt idx="229">
                  <c:v>Williams Town</c:v>
                </c:pt>
                <c:pt idx="230">
                  <c:v>Yarandahalli</c:v>
                </c:pt>
                <c:pt idx="231">
                  <c:v>Yelachenahalli</c:v>
                </c:pt>
                <c:pt idx="232">
                  <c:v>Yelahanka</c:v>
                </c:pt>
                <c:pt idx="233">
                  <c:v>Yemlur, Old Airport Road, </c:v>
                </c:pt>
                <c:pt idx="234">
                  <c:v>Yeshwanthpur</c:v>
                </c:pt>
                <c:pt idx="235">
                  <c:v>Grand Total</c:v>
                </c:pt>
              </c:strCache>
            </c:strRef>
          </c:cat>
          <c:val>
            <c:numRef>
              <c:f>Sheet1!$B$504:$B$739</c:f>
              <c:numCache>
                <c:formatCode>General</c:formatCode>
                <c:ptCount val="236"/>
                <c:pt idx="0">
                  <c:v>1940000</c:v>
                </c:pt>
                <c:pt idx="1">
                  <c:v>900000</c:v>
                </c:pt>
                <c:pt idx="2">
                  <c:v>4990000</c:v>
                </c:pt>
                <c:pt idx="3">
                  <c:v>6600000</c:v>
                </c:pt>
                <c:pt idx="4">
                  <c:v>9910000</c:v>
                </c:pt>
                <c:pt idx="5">
                  <c:v>3000000</c:v>
                </c:pt>
                <c:pt idx="6">
                  <c:v>435000</c:v>
                </c:pt>
                <c:pt idx="7">
                  <c:v>980000</c:v>
                </c:pt>
                <c:pt idx="8">
                  <c:v>5201000</c:v>
                </c:pt>
                <c:pt idx="9">
                  <c:v>2850000</c:v>
                </c:pt>
                <c:pt idx="10">
                  <c:v>1650000</c:v>
                </c:pt>
                <c:pt idx="11">
                  <c:v>1300000</c:v>
                </c:pt>
                <c:pt idx="12">
                  <c:v>880000</c:v>
                </c:pt>
                <c:pt idx="13">
                  <c:v>1390000</c:v>
                </c:pt>
                <c:pt idx="14">
                  <c:v>1000000</c:v>
                </c:pt>
                <c:pt idx="15">
                  <c:v>2350000</c:v>
                </c:pt>
                <c:pt idx="16">
                  <c:v>840000</c:v>
                </c:pt>
                <c:pt idx="17">
                  <c:v>1200000</c:v>
                </c:pt>
                <c:pt idx="18">
                  <c:v>985000</c:v>
                </c:pt>
                <c:pt idx="19">
                  <c:v>434000</c:v>
                </c:pt>
                <c:pt idx="20">
                  <c:v>790000</c:v>
                </c:pt>
                <c:pt idx="21">
                  <c:v>2056400</c:v>
                </c:pt>
                <c:pt idx="22">
                  <c:v>587000</c:v>
                </c:pt>
                <c:pt idx="23">
                  <c:v>1250000</c:v>
                </c:pt>
                <c:pt idx="24">
                  <c:v>580000</c:v>
                </c:pt>
                <c:pt idx="25">
                  <c:v>4826300</c:v>
                </c:pt>
                <c:pt idx="26">
                  <c:v>800000</c:v>
                </c:pt>
                <c:pt idx="27">
                  <c:v>467400</c:v>
                </c:pt>
                <c:pt idx="28">
                  <c:v>950000</c:v>
                </c:pt>
                <c:pt idx="29">
                  <c:v>1450000</c:v>
                </c:pt>
                <c:pt idx="30">
                  <c:v>1870300</c:v>
                </c:pt>
                <c:pt idx="31">
                  <c:v>1787600</c:v>
                </c:pt>
                <c:pt idx="32">
                  <c:v>1030000</c:v>
                </c:pt>
                <c:pt idx="33">
                  <c:v>850000</c:v>
                </c:pt>
                <c:pt idx="34">
                  <c:v>950000</c:v>
                </c:pt>
                <c:pt idx="35">
                  <c:v>990000</c:v>
                </c:pt>
                <c:pt idx="36">
                  <c:v>1100000</c:v>
                </c:pt>
                <c:pt idx="37">
                  <c:v>1220000</c:v>
                </c:pt>
                <c:pt idx="38">
                  <c:v>2830000</c:v>
                </c:pt>
                <c:pt idx="39">
                  <c:v>953600</c:v>
                </c:pt>
                <c:pt idx="40">
                  <c:v>504000</c:v>
                </c:pt>
                <c:pt idx="41">
                  <c:v>3230000</c:v>
                </c:pt>
                <c:pt idx="42">
                  <c:v>1030000</c:v>
                </c:pt>
                <c:pt idx="43">
                  <c:v>1400000</c:v>
                </c:pt>
                <c:pt idx="44">
                  <c:v>1650000</c:v>
                </c:pt>
                <c:pt idx="45">
                  <c:v>900000</c:v>
                </c:pt>
                <c:pt idx="46">
                  <c:v>1200000</c:v>
                </c:pt>
                <c:pt idx="47">
                  <c:v>1086300</c:v>
                </c:pt>
                <c:pt idx="48">
                  <c:v>850500</c:v>
                </c:pt>
                <c:pt idx="49">
                  <c:v>483300</c:v>
                </c:pt>
                <c:pt idx="50">
                  <c:v>1000000</c:v>
                </c:pt>
                <c:pt idx="51">
                  <c:v>561200</c:v>
                </c:pt>
                <c:pt idx="52">
                  <c:v>1000000</c:v>
                </c:pt>
                <c:pt idx="53">
                  <c:v>2050000</c:v>
                </c:pt>
                <c:pt idx="54">
                  <c:v>1700000</c:v>
                </c:pt>
                <c:pt idx="55">
                  <c:v>1500000</c:v>
                </c:pt>
                <c:pt idx="56">
                  <c:v>650000</c:v>
                </c:pt>
                <c:pt idx="57">
                  <c:v>2250000</c:v>
                </c:pt>
                <c:pt idx="58">
                  <c:v>750000</c:v>
                </c:pt>
                <c:pt idx="59">
                  <c:v>1433400</c:v>
                </c:pt>
                <c:pt idx="60">
                  <c:v>440000</c:v>
                </c:pt>
                <c:pt idx="61">
                  <c:v>644400</c:v>
                </c:pt>
                <c:pt idx="62">
                  <c:v>750000</c:v>
                </c:pt>
                <c:pt idx="63">
                  <c:v>700000</c:v>
                </c:pt>
                <c:pt idx="64">
                  <c:v>900000</c:v>
                </c:pt>
                <c:pt idx="65">
                  <c:v>255300</c:v>
                </c:pt>
                <c:pt idx="66">
                  <c:v>1800000</c:v>
                </c:pt>
                <c:pt idx="67">
                  <c:v>1000000</c:v>
                </c:pt>
                <c:pt idx="68">
                  <c:v>650000</c:v>
                </c:pt>
                <c:pt idx="69">
                  <c:v>8955300</c:v>
                </c:pt>
                <c:pt idx="70">
                  <c:v>756600</c:v>
                </c:pt>
                <c:pt idx="71">
                  <c:v>2410900</c:v>
                </c:pt>
                <c:pt idx="72">
                  <c:v>2640000</c:v>
                </c:pt>
                <c:pt idx="73">
                  <c:v>3920000</c:v>
                </c:pt>
                <c:pt idx="74">
                  <c:v>608000</c:v>
                </c:pt>
                <c:pt idx="75">
                  <c:v>860000</c:v>
                </c:pt>
                <c:pt idx="76">
                  <c:v>2750000</c:v>
                </c:pt>
                <c:pt idx="77">
                  <c:v>620000</c:v>
                </c:pt>
                <c:pt idx="78">
                  <c:v>825000</c:v>
                </c:pt>
                <c:pt idx="79">
                  <c:v>1250000</c:v>
                </c:pt>
                <c:pt idx="80">
                  <c:v>820000</c:v>
                </c:pt>
                <c:pt idx="81">
                  <c:v>660000</c:v>
                </c:pt>
                <c:pt idx="82">
                  <c:v>4370000</c:v>
                </c:pt>
                <c:pt idx="83">
                  <c:v>4780000</c:v>
                </c:pt>
                <c:pt idx="84">
                  <c:v>12386800</c:v>
                </c:pt>
                <c:pt idx="85">
                  <c:v>3300000</c:v>
                </c:pt>
                <c:pt idx="86">
                  <c:v>4930000</c:v>
                </c:pt>
                <c:pt idx="87">
                  <c:v>8065800</c:v>
                </c:pt>
                <c:pt idx="88">
                  <c:v>700000</c:v>
                </c:pt>
                <c:pt idx="89">
                  <c:v>2737500</c:v>
                </c:pt>
                <c:pt idx="90">
                  <c:v>790000</c:v>
                </c:pt>
                <c:pt idx="91">
                  <c:v>1214800</c:v>
                </c:pt>
                <c:pt idx="92">
                  <c:v>1210000</c:v>
                </c:pt>
                <c:pt idx="93">
                  <c:v>1650000</c:v>
                </c:pt>
                <c:pt idx="94">
                  <c:v>700000</c:v>
                </c:pt>
                <c:pt idx="95">
                  <c:v>8440000</c:v>
                </c:pt>
                <c:pt idx="96">
                  <c:v>2130000</c:v>
                </c:pt>
                <c:pt idx="97">
                  <c:v>570000</c:v>
                </c:pt>
                <c:pt idx="98">
                  <c:v>1960000</c:v>
                </c:pt>
                <c:pt idx="99">
                  <c:v>1780000</c:v>
                </c:pt>
                <c:pt idx="100">
                  <c:v>352300</c:v>
                </c:pt>
                <c:pt idx="101">
                  <c:v>2350000</c:v>
                </c:pt>
                <c:pt idx="102">
                  <c:v>750000</c:v>
                </c:pt>
                <c:pt idx="103">
                  <c:v>2140200</c:v>
                </c:pt>
                <c:pt idx="104">
                  <c:v>700000</c:v>
                </c:pt>
                <c:pt idx="105">
                  <c:v>3185100</c:v>
                </c:pt>
                <c:pt idx="106">
                  <c:v>2370000</c:v>
                </c:pt>
                <c:pt idx="107">
                  <c:v>600000</c:v>
                </c:pt>
                <c:pt idx="108">
                  <c:v>3500000</c:v>
                </c:pt>
                <c:pt idx="109">
                  <c:v>550000</c:v>
                </c:pt>
                <c:pt idx="110">
                  <c:v>1500000</c:v>
                </c:pt>
                <c:pt idx="111">
                  <c:v>500000</c:v>
                </c:pt>
                <c:pt idx="112">
                  <c:v>2104500</c:v>
                </c:pt>
                <c:pt idx="113">
                  <c:v>1393000</c:v>
                </c:pt>
                <c:pt idx="114">
                  <c:v>550000</c:v>
                </c:pt>
                <c:pt idx="115">
                  <c:v>2750000</c:v>
                </c:pt>
                <c:pt idx="116">
                  <c:v>750000</c:v>
                </c:pt>
                <c:pt idx="117">
                  <c:v>1135000</c:v>
                </c:pt>
                <c:pt idx="118">
                  <c:v>650000</c:v>
                </c:pt>
                <c:pt idx="119">
                  <c:v>750000</c:v>
                </c:pt>
                <c:pt idx="120">
                  <c:v>6129200</c:v>
                </c:pt>
                <c:pt idx="121">
                  <c:v>900000</c:v>
                </c:pt>
                <c:pt idx="122">
                  <c:v>4443200</c:v>
                </c:pt>
                <c:pt idx="123">
                  <c:v>2050000</c:v>
                </c:pt>
                <c:pt idx="124">
                  <c:v>1457500</c:v>
                </c:pt>
                <c:pt idx="125">
                  <c:v>640000</c:v>
                </c:pt>
                <c:pt idx="126">
                  <c:v>660000</c:v>
                </c:pt>
                <c:pt idx="127">
                  <c:v>1500000</c:v>
                </c:pt>
                <c:pt idx="128">
                  <c:v>1050000</c:v>
                </c:pt>
                <c:pt idx="129">
                  <c:v>1840000</c:v>
                </c:pt>
                <c:pt idx="130">
                  <c:v>570000</c:v>
                </c:pt>
                <c:pt idx="131">
                  <c:v>650000</c:v>
                </c:pt>
                <c:pt idx="132">
                  <c:v>1619500</c:v>
                </c:pt>
                <c:pt idx="133">
                  <c:v>2960000</c:v>
                </c:pt>
                <c:pt idx="134">
                  <c:v>6550000</c:v>
                </c:pt>
                <c:pt idx="135">
                  <c:v>1770000</c:v>
                </c:pt>
                <c:pt idx="136">
                  <c:v>5110000</c:v>
                </c:pt>
                <c:pt idx="137">
                  <c:v>2460000</c:v>
                </c:pt>
                <c:pt idx="138">
                  <c:v>1020000</c:v>
                </c:pt>
                <c:pt idx="139">
                  <c:v>2300000</c:v>
                </c:pt>
                <c:pt idx="140">
                  <c:v>1200000</c:v>
                </c:pt>
                <c:pt idx="141">
                  <c:v>2580000</c:v>
                </c:pt>
                <c:pt idx="142">
                  <c:v>700000</c:v>
                </c:pt>
                <c:pt idx="143">
                  <c:v>650000</c:v>
                </c:pt>
                <c:pt idx="144">
                  <c:v>2990000</c:v>
                </c:pt>
                <c:pt idx="145">
                  <c:v>490000</c:v>
                </c:pt>
                <c:pt idx="146">
                  <c:v>780000</c:v>
                </c:pt>
                <c:pt idx="147">
                  <c:v>1815800</c:v>
                </c:pt>
                <c:pt idx="148">
                  <c:v>2970000</c:v>
                </c:pt>
                <c:pt idx="149">
                  <c:v>1700000</c:v>
                </c:pt>
                <c:pt idx="150">
                  <c:v>560000</c:v>
                </c:pt>
                <c:pt idx="151">
                  <c:v>1250000</c:v>
                </c:pt>
                <c:pt idx="152">
                  <c:v>848300</c:v>
                </c:pt>
                <c:pt idx="153">
                  <c:v>702500</c:v>
                </c:pt>
                <c:pt idx="154">
                  <c:v>5352500</c:v>
                </c:pt>
                <c:pt idx="155">
                  <c:v>1200000</c:v>
                </c:pt>
                <c:pt idx="156">
                  <c:v>2800000</c:v>
                </c:pt>
                <c:pt idx="157">
                  <c:v>2050000</c:v>
                </c:pt>
                <c:pt idx="158">
                  <c:v>2600000</c:v>
                </c:pt>
                <c:pt idx="159">
                  <c:v>700000</c:v>
                </c:pt>
                <c:pt idx="160">
                  <c:v>913100</c:v>
                </c:pt>
                <c:pt idx="161">
                  <c:v>2480000</c:v>
                </c:pt>
                <c:pt idx="162">
                  <c:v>660000</c:v>
                </c:pt>
                <c:pt idx="163">
                  <c:v>833000</c:v>
                </c:pt>
                <c:pt idx="164">
                  <c:v>780000</c:v>
                </c:pt>
                <c:pt idx="165">
                  <c:v>750000</c:v>
                </c:pt>
                <c:pt idx="166">
                  <c:v>890000</c:v>
                </c:pt>
                <c:pt idx="167">
                  <c:v>1100000</c:v>
                </c:pt>
                <c:pt idx="168">
                  <c:v>1485400</c:v>
                </c:pt>
                <c:pt idx="169">
                  <c:v>1850000</c:v>
                </c:pt>
                <c:pt idx="170">
                  <c:v>2628000</c:v>
                </c:pt>
                <c:pt idx="171">
                  <c:v>800000</c:v>
                </c:pt>
                <c:pt idx="172">
                  <c:v>1100000</c:v>
                </c:pt>
                <c:pt idx="173">
                  <c:v>1500000</c:v>
                </c:pt>
                <c:pt idx="174">
                  <c:v>745000</c:v>
                </c:pt>
                <c:pt idx="175">
                  <c:v>1711500</c:v>
                </c:pt>
                <c:pt idx="176">
                  <c:v>13840000</c:v>
                </c:pt>
                <c:pt idx="177">
                  <c:v>1600000</c:v>
                </c:pt>
                <c:pt idx="178">
                  <c:v>2900000</c:v>
                </c:pt>
                <c:pt idx="179">
                  <c:v>484800</c:v>
                </c:pt>
                <c:pt idx="180">
                  <c:v>630000</c:v>
                </c:pt>
                <c:pt idx="181">
                  <c:v>3750000</c:v>
                </c:pt>
                <c:pt idx="182">
                  <c:v>3650000</c:v>
                </c:pt>
                <c:pt idx="183">
                  <c:v>2600000</c:v>
                </c:pt>
                <c:pt idx="184">
                  <c:v>622800</c:v>
                </c:pt>
                <c:pt idx="185">
                  <c:v>6600000</c:v>
                </c:pt>
                <c:pt idx="186">
                  <c:v>2950000</c:v>
                </c:pt>
                <c:pt idx="187">
                  <c:v>750000</c:v>
                </c:pt>
                <c:pt idx="188">
                  <c:v>2350000</c:v>
                </c:pt>
                <c:pt idx="189">
                  <c:v>2650000</c:v>
                </c:pt>
                <c:pt idx="190">
                  <c:v>11976300</c:v>
                </c:pt>
                <c:pt idx="191">
                  <c:v>480000</c:v>
                </c:pt>
                <c:pt idx="192">
                  <c:v>429000</c:v>
                </c:pt>
                <c:pt idx="193">
                  <c:v>1080000</c:v>
                </c:pt>
                <c:pt idx="194">
                  <c:v>580000</c:v>
                </c:pt>
                <c:pt idx="195">
                  <c:v>620000</c:v>
                </c:pt>
                <c:pt idx="196">
                  <c:v>650000</c:v>
                </c:pt>
                <c:pt idx="197">
                  <c:v>1150000</c:v>
                </c:pt>
                <c:pt idx="198">
                  <c:v>640000</c:v>
                </c:pt>
                <c:pt idx="199">
                  <c:v>480000</c:v>
                </c:pt>
                <c:pt idx="200">
                  <c:v>783400</c:v>
                </c:pt>
                <c:pt idx="201">
                  <c:v>550000</c:v>
                </c:pt>
                <c:pt idx="202">
                  <c:v>1150000</c:v>
                </c:pt>
                <c:pt idx="203">
                  <c:v>2400000</c:v>
                </c:pt>
                <c:pt idx="204">
                  <c:v>740000</c:v>
                </c:pt>
                <c:pt idx="205">
                  <c:v>520000</c:v>
                </c:pt>
                <c:pt idx="206">
                  <c:v>900000</c:v>
                </c:pt>
                <c:pt idx="207">
                  <c:v>1000000</c:v>
                </c:pt>
                <c:pt idx="208">
                  <c:v>1310000</c:v>
                </c:pt>
                <c:pt idx="209">
                  <c:v>3700000</c:v>
                </c:pt>
                <c:pt idx="210">
                  <c:v>770000</c:v>
                </c:pt>
                <c:pt idx="211">
                  <c:v>750000</c:v>
                </c:pt>
                <c:pt idx="212">
                  <c:v>12231300</c:v>
                </c:pt>
                <c:pt idx="213">
                  <c:v>2400000</c:v>
                </c:pt>
                <c:pt idx="214">
                  <c:v>1420000</c:v>
                </c:pt>
                <c:pt idx="215">
                  <c:v>870000</c:v>
                </c:pt>
                <c:pt idx="216">
                  <c:v>2070000</c:v>
                </c:pt>
                <c:pt idx="217">
                  <c:v>682900</c:v>
                </c:pt>
                <c:pt idx="218">
                  <c:v>2150000</c:v>
                </c:pt>
                <c:pt idx="219">
                  <c:v>860000</c:v>
                </c:pt>
                <c:pt idx="220">
                  <c:v>4374300</c:v>
                </c:pt>
                <c:pt idx="221">
                  <c:v>850000</c:v>
                </c:pt>
                <c:pt idx="222">
                  <c:v>659900</c:v>
                </c:pt>
                <c:pt idx="223">
                  <c:v>1880000</c:v>
                </c:pt>
                <c:pt idx="224">
                  <c:v>950000</c:v>
                </c:pt>
                <c:pt idx="225">
                  <c:v>600000</c:v>
                </c:pt>
                <c:pt idx="226">
                  <c:v>670000</c:v>
                </c:pt>
                <c:pt idx="227">
                  <c:v>6695000</c:v>
                </c:pt>
                <c:pt idx="228">
                  <c:v>18527400</c:v>
                </c:pt>
                <c:pt idx="229">
                  <c:v>980000</c:v>
                </c:pt>
                <c:pt idx="230">
                  <c:v>480000</c:v>
                </c:pt>
                <c:pt idx="231">
                  <c:v>1600000</c:v>
                </c:pt>
                <c:pt idx="232">
                  <c:v>4679550</c:v>
                </c:pt>
                <c:pt idx="233">
                  <c:v>1150000</c:v>
                </c:pt>
                <c:pt idx="234">
                  <c:v>5570000</c:v>
                </c:pt>
                <c:pt idx="235">
                  <c:v>476143950</c:v>
                </c:pt>
              </c:numCache>
            </c:numRef>
          </c:val>
          <c:smooth val="0"/>
          <c:extLst>
            <c:ext xmlns:c16="http://schemas.microsoft.com/office/drawing/2014/chart" uri="{C3380CC4-5D6E-409C-BE32-E72D297353CC}">
              <c16:uniqueId val="{00000000-EBCB-4A7F-AC12-7428FD0ED459}"/>
            </c:ext>
          </c:extLst>
        </c:ser>
        <c:ser>
          <c:idx val="1"/>
          <c:order val="1"/>
          <c:tx>
            <c:v>Sum of total_sqft</c:v>
          </c:tx>
          <c:spPr>
            <a:ln w="19050" cmpd="sng">
              <a:solidFill>
                <a:schemeClr val="accent2"/>
              </a:solidFill>
            </a:ln>
          </c:spPr>
          <c:marker>
            <c:symbol val="circle"/>
            <c:size val="6"/>
            <c:spPr>
              <a:solidFill>
                <a:schemeClr val="accent2"/>
              </a:solidFill>
              <a:ln cmpd="sng">
                <a:solidFill>
                  <a:schemeClr val="accent2"/>
                </a:solidFill>
              </a:ln>
            </c:spPr>
          </c:marker>
          <c:cat>
            <c:strRef>
              <c:f>Sheet1!$A$504:$A$739</c:f>
              <c:strCache>
                <c:ptCount val="236"/>
                <c:pt idx="0">
                  <c:v>1st Block Jayanagar</c:v>
                </c:pt>
                <c:pt idx="1">
                  <c:v>2nd Block Hrbr Layout</c:v>
                </c:pt>
                <c:pt idx="2">
                  <c:v>2nd Phase JP Nagar</c:v>
                </c:pt>
                <c:pt idx="3">
                  <c:v>6th block banashankari 3rd stage, 100 feet ORR</c:v>
                </c:pt>
                <c:pt idx="4">
                  <c:v>7th Phase JP Nagar</c:v>
                </c:pt>
                <c:pt idx="5">
                  <c:v>8th block Koramangala</c:v>
                </c:pt>
                <c:pt idx="6">
                  <c:v>8th Phase JP Nagar</c:v>
                </c:pt>
                <c:pt idx="7">
                  <c:v>AECS Layout</c:v>
                </c:pt>
                <c:pt idx="8">
                  <c:v>Akshaya Nagar</c:v>
                </c:pt>
                <c:pt idx="9">
                  <c:v>Ambalipura</c:v>
                </c:pt>
                <c:pt idx="10">
                  <c:v>Ambedkar Colony</c:v>
                </c:pt>
                <c:pt idx="11">
                  <c:v>Ambedkar Nagar</c:v>
                </c:pt>
                <c:pt idx="12">
                  <c:v>Amco Colony</c:v>
                </c:pt>
                <c:pt idx="13">
                  <c:v>Anjanapura</c:v>
                </c:pt>
                <c:pt idx="14">
                  <c:v>Ardendale</c:v>
                </c:pt>
                <c:pt idx="15">
                  <c:v>Arekere</c:v>
                </c:pt>
                <c:pt idx="16">
                  <c:v>Ashwath Nagar</c:v>
                </c:pt>
                <c:pt idx="17">
                  <c:v>Avalahalli</c:v>
                </c:pt>
                <c:pt idx="18">
                  <c:v>B Narayanapura</c:v>
                </c:pt>
                <c:pt idx="19">
                  <c:v>Babusapalaya</c:v>
                </c:pt>
                <c:pt idx="20">
                  <c:v>Balagere</c:v>
                </c:pt>
                <c:pt idx="21">
                  <c:v>Banashankari</c:v>
                </c:pt>
                <c:pt idx="22">
                  <c:v>Banashankari Stage III</c:v>
                </c:pt>
                <c:pt idx="23">
                  <c:v>Banashankari3rd stage bigbazar</c:v>
                </c:pt>
                <c:pt idx="24">
                  <c:v>Banjara Layout</c:v>
                </c:pt>
                <c:pt idx="25">
                  <c:v>Bannerghatta Road</c:v>
                </c:pt>
                <c:pt idx="26">
                  <c:v>Basavanagara</c:v>
                </c:pt>
                <c:pt idx="27">
                  <c:v>Basavanapura</c:v>
                </c:pt>
                <c:pt idx="28">
                  <c:v>Basavanna Nagar</c:v>
                </c:pt>
                <c:pt idx="29">
                  <c:v>Basaveshwara Nagar</c:v>
                </c:pt>
                <c:pt idx="30">
                  <c:v>Battarahalli</c:v>
                </c:pt>
                <c:pt idx="31">
                  <c:v>Begur Road</c:v>
                </c:pt>
                <c:pt idx="32">
                  <c:v>Bellandur</c:v>
                </c:pt>
                <c:pt idx="33">
                  <c:v>BEML Layout</c:v>
                </c:pt>
                <c:pt idx="34">
                  <c:v>Bendiganahalli</c:v>
                </c:pt>
                <c:pt idx="35">
                  <c:v>Bhoganhalli</c:v>
                </c:pt>
                <c:pt idx="36">
                  <c:v>Billekahalli</c:v>
                </c:pt>
                <c:pt idx="37">
                  <c:v>Binny Pete</c:v>
                </c:pt>
                <c:pt idx="38">
                  <c:v>Bisuvanahalli</c:v>
                </c:pt>
                <c:pt idx="39">
                  <c:v>Bommasandra</c:v>
                </c:pt>
                <c:pt idx="40">
                  <c:v>Bommasandra Industrial Area</c:v>
                </c:pt>
                <c:pt idx="41">
                  <c:v>Brookefield</c:v>
                </c:pt>
                <c:pt idx="42">
                  <c:v>Budigere</c:v>
                </c:pt>
                <c:pt idx="43">
                  <c:v>Bull Temple Road</c:v>
                </c:pt>
                <c:pt idx="44">
                  <c:v>Byatarayanapura</c:v>
                </c:pt>
                <c:pt idx="45">
                  <c:v>Canara Bank Layout</c:v>
                </c:pt>
                <c:pt idx="46">
                  <c:v>Chamrajpet</c:v>
                </c:pt>
                <c:pt idx="47">
                  <c:v>Chandapura</c:v>
                </c:pt>
                <c:pt idx="48">
                  <c:v>Chandra Layout</c:v>
                </c:pt>
                <c:pt idx="49">
                  <c:v>Channasandra</c:v>
                </c:pt>
                <c:pt idx="50">
                  <c:v>Chikkaballapur</c:v>
                </c:pt>
                <c:pt idx="51">
                  <c:v>Chikkalasandra</c:v>
                </c:pt>
                <c:pt idx="52">
                  <c:v>CHIKKATIRUPATHI</c:v>
                </c:pt>
                <c:pt idx="53">
                  <c:v>Cholanayakanahalli</c:v>
                </c:pt>
                <c:pt idx="54">
                  <c:v>Coffee Board Layout</c:v>
                </c:pt>
                <c:pt idx="55">
                  <c:v>Cox Town</c:v>
                </c:pt>
                <c:pt idx="56">
                  <c:v>CV Raman Nagar</c:v>
                </c:pt>
                <c:pt idx="57">
                  <c:v>Dairy Circle</c:v>
                </c:pt>
                <c:pt idx="58">
                  <c:v>Dasarahalli</c:v>
                </c:pt>
                <c:pt idx="59">
                  <c:v>Devanahalli</c:v>
                </c:pt>
                <c:pt idx="60">
                  <c:v>Devarachikkanahalli</c:v>
                </c:pt>
                <c:pt idx="61">
                  <c:v>Divya Unnathi Layout</c:v>
                </c:pt>
                <c:pt idx="62">
                  <c:v>Dodda Kempaiah Layout</c:v>
                </c:pt>
                <c:pt idx="63">
                  <c:v>Doddagubbi</c:v>
                </c:pt>
                <c:pt idx="64">
                  <c:v>Domlur</c:v>
                </c:pt>
                <c:pt idx="65">
                  <c:v>Dommasandra</c:v>
                </c:pt>
                <c:pt idx="66">
                  <c:v>Dooravani Nagar</c:v>
                </c:pt>
                <c:pt idx="67">
                  <c:v>Double Road</c:v>
                </c:pt>
                <c:pt idx="68">
                  <c:v>Dr Shivarama Karantha Nagar</c:v>
                </c:pt>
                <c:pt idx="69">
                  <c:v>Electronic City</c:v>
                </c:pt>
                <c:pt idx="70">
                  <c:v>Electronic City Phase II</c:v>
                </c:pt>
                <c:pt idx="71">
                  <c:v>Electronics City Phase 1</c:v>
                </c:pt>
                <c:pt idx="72">
                  <c:v>EPIP Zone</c:v>
                </c:pt>
                <c:pt idx="73">
                  <c:v>FARLAHM</c:v>
                </c:pt>
                <c:pt idx="74">
                  <c:v>Garudachar Palya</c:v>
                </c:pt>
                <c:pt idx="75">
                  <c:v>GM Palaya</c:v>
                </c:pt>
                <c:pt idx="76">
                  <c:v>Gopalapura</c:v>
                </c:pt>
                <c:pt idx="77">
                  <c:v>Gopalkrishna Nagar</c:v>
                </c:pt>
                <c:pt idx="78">
                  <c:v>Gottigere</c:v>
                </c:pt>
                <c:pt idx="79">
                  <c:v>Green Glen Layout</c:v>
                </c:pt>
                <c:pt idx="80">
                  <c:v>Gubbalala</c:v>
                </c:pt>
                <c:pt idx="81">
                  <c:v>Gunjur</c:v>
                </c:pt>
                <c:pt idx="82">
                  <c:v>Haralur Road</c:v>
                </c:pt>
                <c:pt idx="83">
                  <c:v>Harlur</c:v>
                </c:pt>
                <c:pt idx="84">
                  <c:v>Hebbal</c:v>
                </c:pt>
                <c:pt idx="85">
                  <c:v>Hebbal Kempapura</c:v>
                </c:pt>
                <c:pt idx="86">
                  <c:v>Hegde Nagar</c:v>
                </c:pt>
                <c:pt idx="87">
                  <c:v>Hennur Road</c:v>
                </c:pt>
                <c:pt idx="88">
                  <c:v>Herohalli</c:v>
                </c:pt>
                <c:pt idx="89">
                  <c:v>Hoodi</c:v>
                </c:pt>
                <c:pt idx="90">
                  <c:v>Hoodi Circle, </c:v>
                </c:pt>
                <c:pt idx="91">
                  <c:v>Horamavu Agara</c:v>
                </c:pt>
                <c:pt idx="92">
                  <c:v>Horamavu Banaswadi</c:v>
                </c:pt>
                <c:pt idx="93">
                  <c:v>Hosa Road</c:v>
                </c:pt>
                <c:pt idx="94">
                  <c:v>Hosahalli</c:v>
                </c:pt>
                <c:pt idx="95">
                  <c:v>Hosakerehalli</c:v>
                </c:pt>
                <c:pt idx="96">
                  <c:v>Hosur Road</c:v>
                </c:pt>
                <c:pt idx="97">
                  <c:v>Hoysalanagar</c:v>
                </c:pt>
                <c:pt idx="98">
                  <c:v>HSR Layout</c:v>
                </c:pt>
                <c:pt idx="99">
                  <c:v>Hulimavu</c:v>
                </c:pt>
                <c:pt idx="100">
                  <c:v>Huskur</c:v>
                </c:pt>
                <c:pt idx="101">
                  <c:v>Iblur Village</c:v>
                </c:pt>
                <c:pt idx="102">
                  <c:v>ITI Layout</c:v>
                </c:pt>
                <c:pt idx="103">
                  <c:v>ITPL</c:v>
                </c:pt>
                <c:pt idx="104">
                  <c:v>Jai Bheema Nagar</c:v>
                </c:pt>
                <c:pt idx="105">
                  <c:v>Jakkur</c:v>
                </c:pt>
                <c:pt idx="106">
                  <c:v>Jalahalli</c:v>
                </c:pt>
                <c:pt idx="107">
                  <c:v>Jalahalli East</c:v>
                </c:pt>
                <c:pt idx="108">
                  <c:v>Jaya Nagar East</c:v>
                </c:pt>
                <c:pt idx="109">
                  <c:v>Jigani</c:v>
                </c:pt>
                <c:pt idx="110">
                  <c:v>JP Nagar</c:v>
                </c:pt>
                <c:pt idx="111">
                  <c:v>K G Colony</c:v>
                </c:pt>
                <c:pt idx="112">
                  <c:v>Kadugodi</c:v>
                </c:pt>
                <c:pt idx="113">
                  <c:v>Kaggadasapura</c:v>
                </c:pt>
                <c:pt idx="114">
                  <c:v>Kaggalipura</c:v>
                </c:pt>
                <c:pt idx="115">
                  <c:v>Kalena Agrahara</c:v>
                </c:pt>
                <c:pt idx="116">
                  <c:v>Kalyan nagar</c:v>
                </c:pt>
                <c:pt idx="117">
                  <c:v>Kambipura</c:v>
                </c:pt>
                <c:pt idx="118">
                  <c:v>Kammasandra</c:v>
                </c:pt>
                <c:pt idx="119">
                  <c:v>Kanakapura</c:v>
                </c:pt>
                <c:pt idx="120">
                  <c:v>Kanakpura Road</c:v>
                </c:pt>
                <c:pt idx="121">
                  <c:v>Kariyammana Agrahara</c:v>
                </c:pt>
                <c:pt idx="122">
                  <c:v>Kasavanhalli</c:v>
                </c:pt>
                <c:pt idx="123">
                  <c:v>Kasturi Nagar</c:v>
                </c:pt>
                <c:pt idx="124">
                  <c:v>Kathriguppe</c:v>
                </c:pt>
                <c:pt idx="125">
                  <c:v>Kengeri</c:v>
                </c:pt>
                <c:pt idx="126">
                  <c:v>Kengeri Satellite Town</c:v>
                </c:pt>
                <c:pt idx="127">
                  <c:v>Keshava Nagar</c:v>
                </c:pt>
                <c:pt idx="128">
                  <c:v>Kodanda Reddy Layout</c:v>
                </c:pt>
                <c:pt idx="129">
                  <c:v>Kodbisanhalli</c:v>
                </c:pt>
                <c:pt idx="130">
                  <c:v>Kodichikkanahalli</c:v>
                </c:pt>
                <c:pt idx="131">
                  <c:v>Kodigehaali</c:v>
                </c:pt>
                <c:pt idx="132">
                  <c:v>Kogilu</c:v>
                </c:pt>
                <c:pt idx="133">
                  <c:v>Konanakunte</c:v>
                </c:pt>
                <c:pt idx="134">
                  <c:v>Koramangala</c:v>
                </c:pt>
                <c:pt idx="135">
                  <c:v>Kothannur</c:v>
                </c:pt>
                <c:pt idx="136">
                  <c:v>Kothanur</c:v>
                </c:pt>
                <c:pt idx="137">
                  <c:v>Kudlu Gate</c:v>
                </c:pt>
                <c:pt idx="138">
                  <c:v>KUDLU MAIN ROAD</c:v>
                </c:pt>
                <c:pt idx="139">
                  <c:v>Kundalahalli</c:v>
                </c:pt>
                <c:pt idx="140">
                  <c:v>Lakshmiamma Garden</c:v>
                </c:pt>
                <c:pt idx="141">
                  <c:v>Lakshminarayana Pura</c:v>
                </c:pt>
                <c:pt idx="142">
                  <c:v>Langford Town</c:v>
                </c:pt>
                <c:pt idx="143">
                  <c:v>LB Shastri Nagar</c:v>
                </c:pt>
                <c:pt idx="144">
                  <c:v>Lingadheeranahalli</c:v>
                </c:pt>
                <c:pt idx="145">
                  <c:v>Magadi Road</c:v>
                </c:pt>
                <c:pt idx="146">
                  <c:v>Mahadevpura</c:v>
                </c:pt>
                <c:pt idx="147">
                  <c:v>Mallasandra</c:v>
                </c:pt>
                <c:pt idx="148">
                  <c:v>Malleshwaram</c:v>
                </c:pt>
                <c:pt idx="149">
                  <c:v>Manayata Tech Park</c:v>
                </c:pt>
                <c:pt idx="150">
                  <c:v>Mangammanapalya</c:v>
                </c:pt>
                <c:pt idx="151">
                  <c:v>Mango Garden Layout</c:v>
                </c:pt>
                <c:pt idx="152">
                  <c:v>manyata park</c:v>
                </c:pt>
                <c:pt idx="153">
                  <c:v>Maragondanahalli</c:v>
                </c:pt>
                <c:pt idx="154">
                  <c:v>Marathahalli</c:v>
                </c:pt>
                <c:pt idx="155">
                  <c:v>Marathalli bridge</c:v>
                </c:pt>
                <c:pt idx="156">
                  <c:v>Meenakunte</c:v>
                </c:pt>
                <c:pt idx="157">
                  <c:v>MS Pallya</c:v>
                </c:pt>
                <c:pt idx="158">
                  <c:v>Muthurayya Swamy Layout</c:v>
                </c:pt>
                <c:pt idx="159">
                  <c:v>Mysore Highway</c:v>
                </c:pt>
                <c:pt idx="160">
                  <c:v>Mysore Road</c:v>
                </c:pt>
                <c:pt idx="161">
                  <c:v>Nagarbhavi</c:v>
                </c:pt>
                <c:pt idx="162">
                  <c:v>Nagondanahalli</c:v>
                </c:pt>
                <c:pt idx="163">
                  <c:v>Narayanapura</c:v>
                </c:pt>
                <c:pt idx="164">
                  <c:v>Ngef Layout</c:v>
                </c:pt>
                <c:pt idx="165">
                  <c:v>NRI Layout</c:v>
                </c:pt>
                <c:pt idx="166">
                  <c:v>Off Sarjapur Road, </c:v>
                </c:pt>
                <c:pt idx="167">
                  <c:v>Old Airport Road</c:v>
                </c:pt>
                <c:pt idx="168">
                  <c:v>Old Madras Road</c:v>
                </c:pt>
                <c:pt idx="169">
                  <c:v>OMBR Layout</c:v>
                </c:pt>
                <c:pt idx="170">
                  <c:v>Panathur</c:v>
                </c:pt>
                <c:pt idx="171">
                  <c:v>Pattandur Agrahara</c:v>
                </c:pt>
                <c:pt idx="172">
                  <c:v>Peenya</c:v>
                </c:pt>
                <c:pt idx="173">
                  <c:v>Prashanth Nagar</c:v>
                </c:pt>
                <c:pt idx="174">
                  <c:v>Rachenahalli</c:v>
                </c:pt>
                <c:pt idx="175">
                  <c:v>Raja Rajeshwari Nagar</c:v>
                </c:pt>
                <c:pt idx="176">
                  <c:v>Rajaji Nagar</c:v>
                </c:pt>
                <c:pt idx="177">
                  <c:v>Rajiv Nagar</c:v>
                </c:pt>
                <c:pt idx="178">
                  <c:v>Ramakrishnappa Layout</c:v>
                </c:pt>
                <c:pt idx="179">
                  <c:v>Ramanjaneyanagar</c:v>
                </c:pt>
                <c:pt idx="180">
                  <c:v>Rayasandra</c:v>
                </c:pt>
                <c:pt idx="181">
                  <c:v>Richmond Town</c:v>
                </c:pt>
                <c:pt idx="182">
                  <c:v>RMV</c:v>
                </c:pt>
                <c:pt idx="183">
                  <c:v>RMV Extension</c:v>
                </c:pt>
                <c:pt idx="184">
                  <c:v>RWF West Colony</c:v>
                </c:pt>
                <c:pt idx="185">
                  <c:v>Sadashiva Nagar</c:v>
                </c:pt>
                <c:pt idx="186">
                  <c:v>Sahakara Nagar</c:v>
                </c:pt>
                <c:pt idx="187">
                  <c:v>Sampigehalli</c:v>
                </c:pt>
                <c:pt idx="188">
                  <c:v>Sanjeevini Nagar</c:v>
                </c:pt>
                <c:pt idx="189">
                  <c:v>Sarjapur</c:v>
                </c:pt>
                <c:pt idx="190">
                  <c:v>Sarjapur  Road</c:v>
                </c:pt>
                <c:pt idx="191">
                  <c:v>Sarjapura - Attibele Road</c:v>
                </c:pt>
                <c:pt idx="192">
                  <c:v>Seegehalli</c:v>
                </c:pt>
                <c:pt idx="193">
                  <c:v>Shantiniketan Layout</c:v>
                </c:pt>
                <c:pt idx="194">
                  <c:v>Silk Board</c:v>
                </c:pt>
                <c:pt idx="195">
                  <c:v>Silver Springs Layout</c:v>
                </c:pt>
                <c:pt idx="196">
                  <c:v>Singasandra</c:v>
                </c:pt>
                <c:pt idx="197">
                  <c:v>Singena Agrahara</c:v>
                </c:pt>
                <c:pt idx="198">
                  <c:v>Somasundara Palya</c:v>
                </c:pt>
                <c:pt idx="199">
                  <c:v>Sompura</c:v>
                </c:pt>
                <c:pt idx="200">
                  <c:v>Srinivasa Nagar</c:v>
                </c:pt>
                <c:pt idx="201">
                  <c:v>Suddaguntepalya</c:v>
                </c:pt>
                <c:pt idx="202">
                  <c:v>Sunder Ram Shetty Nagar</c:v>
                </c:pt>
                <c:pt idx="203">
                  <c:v>Surabhi Layout</c:v>
                </c:pt>
                <c:pt idx="204">
                  <c:v>Suragajakkanahalli</c:v>
                </c:pt>
                <c:pt idx="205">
                  <c:v>Suraksha Nagar</c:v>
                </c:pt>
                <c:pt idx="206">
                  <c:v>T Dasarahalli</c:v>
                </c:pt>
                <c:pt idx="207">
                  <c:v>Tala Cauvery Layout</c:v>
                </c:pt>
                <c:pt idx="208">
                  <c:v>Talaghattapura</c:v>
                </c:pt>
                <c:pt idx="209">
                  <c:v>TC Palaya</c:v>
                </c:pt>
                <c:pt idx="210">
                  <c:v>Teachers Colony</c:v>
                </c:pt>
                <c:pt idx="211">
                  <c:v>Tejaswini Nagar</c:v>
                </c:pt>
                <c:pt idx="212">
                  <c:v>Thanisandra</c:v>
                </c:pt>
                <c:pt idx="213">
                  <c:v>Tharabanahalli</c:v>
                </c:pt>
                <c:pt idx="214">
                  <c:v>Thigalarapalya</c:v>
                </c:pt>
                <c:pt idx="215">
                  <c:v>Tindlu</c:v>
                </c:pt>
                <c:pt idx="216">
                  <c:v>Tumkur Road</c:v>
                </c:pt>
                <c:pt idx="217">
                  <c:v>Udayapur Village</c:v>
                </c:pt>
                <c:pt idx="218">
                  <c:v>Ulsoor</c:v>
                </c:pt>
                <c:pt idx="219">
                  <c:v>unkonwn</c:v>
                </c:pt>
                <c:pt idx="220">
                  <c:v>Uttarahalli</c:v>
                </c:pt>
                <c:pt idx="221">
                  <c:v>Vadarpalya</c:v>
                </c:pt>
                <c:pt idx="222">
                  <c:v>Varthur</c:v>
                </c:pt>
                <c:pt idx="223">
                  <c:v>Vasanth nagar</c:v>
                </c:pt>
                <c:pt idx="224">
                  <c:v>Vasantha Vallabha Nagar</c:v>
                </c:pt>
                <c:pt idx="225">
                  <c:v>Vasanthapura</c:v>
                </c:pt>
                <c:pt idx="226">
                  <c:v>Vidyaranyapura</c:v>
                </c:pt>
                <c:pt idx="227">
                  <c:v>Vijayanagar</c:v>
                </c:pt>
                <c:pt idx="228">
                  <c:v>Whitefield</c:v>
                </c:pt>
                <c:pt idx="229">
                  <c:v>Williams Town</c:v>
                </c:pt>
                <c:pt idx="230">
                  <c:v>Yarandahalli</c:v>
                </c:pt>
                <c:pt idx="231">
                  <c:v>Yelachenahalli</c:v>
                </c:pt>
                <c:pt idx="232">
                  <c:v>Yelahanka</c:v>
                </c:pt>
                <c:pt idx="233">
                  <c:v>Yemlur, Old Airport Road, </c:v>
                </c:pt>
                <c:pt idx="234">
                  <c:v>Yeshwanthpur</c:v>
                </c:pt>
                <c:pt idx="235">
                  <c:v>Grand Total</c:v>
                </c:pt>
              </c:strCache>
            </c:strRef>
          </c:cat>
          <c:val>
            <c:numRef>
              <c:f>Sheet1!$C$504:$C$739</c:f>
              <c:numCache>
                <c:formatCode>General</c:formatCode>
                <c:ptCount val="236"/>
                <c:pt idx="0">
                  <c:v>1630</c:v>
                </c:pt>
                <c:pt idx="1">
                  <c:v>1480</c:v>
                </c:pt>
                <c:pt idx="2">
                  <c:v>2610</c:v>
                </c:pt>
                <c:pt idx="3">
                  <c:v>4000</c:v>
                </c:pt>
                <c:pt idx="4">
                  <c:v>12945</c:v>
                </c:pt>
                <c:pt idx="5">
                  <c:v>1846</c:v>
                </c:pt>
                <c:pt idx="6">
                  <c:v>1240</c:v>
                </c:pt>
                <c:pt idx="7">
                  <c:v>1620</c:v>
                </c:pt>
                <c:pt idx="8">
                  <c:v>8280</c:v>
                </c:pt>
                <c:pt idx="9">
                  <c:v>3190</c:v>
                </c:pt>
                <c:pt idx="10">
                  <c:v>1875</c:v>
                </c:pt>
                <c:pt idx="11">
                  <c:v>1935</c:v>
                </c:pt>
                <c:pt idx="12">
                  <c:v>1760</c:v>
                </c:pt>
                <c:pt idx="13">
                  <c:v>1500</c:v>
                </c:pt>
                <c:pt idx="14">
                  <c:v>1750</c:v>
                </c:pt>
                <c:pt idx="15">
                  <c:v>3800</c:v>
                </c:pt>
                <c:pt idx="16">
                  <c:v>1644</c:v>
                </c:pt>
                <c:pt idx="17">
                  <c:v>2300</c:v>
                </c:pt>
                <c:pt idx="18">
                  <c:v>1092</c:v>
                </c:pt>
                <c:pt idx="19">
                  <c:v>1358</c:v>
                </c:pt>
                <c:pt idx="20">
                  <c:v>1590</c:v>
                </c:pt>
                <c:pt idx="21">
                  <c:v>3970</c:v>
                </c:pt>
                <c:pt idx="22">
                  <c:v>1305</c:v>
                </c:pt>
                <c:pt idx="23">
                  <c:v>1762</c:v>
                </c:pt>
                <c:pt idx="24">
                  <c:v>600</c:v>
                </c:pt>
                <c:pt idx="25">
                  <c:v>8755</c:v>
                </c:pt>
                <c:pt idx="26">
                  <c:v>2400</c:v>
                </c:pt>
                <c:pt idx="27">
                  <c:v>1612</c:v>
                </c:pt>
                <c:pt idx="28">
                  <c:v>1645</c:v>
                </c:pt>
                <c:pt idx="29">
                  <c:v>1865</c:v>
                </c:pt>
                <c:pt idx="30">
                  <c:v>3724</c:v>
                </c:pt>
                <c:pt idx="31">
                  <c:v>4699</c:v>
                </c:pt>
                <c:pt idx="32">
                  <c:v>1767</c:v>
                </c:pt>
                <c:pt idx="33">
                  <c:v>2000</c:v>
                </c:pt>
                <c:pt idx="34">
                  <c:v>1200</c:v>
                </c:pt>
                <c:pt idx="35">
                  <c:v>1670</c:v>
                </c:pt>
                <c:pt idx="36">
                  <c:v>1935</c:v>
                </c:pt>
                <c:pt idx="37">
                  <c:v>1755</c:v>
                </c:pt>
                <c:pt idx="38">
                  <c:v>7630</c:v>
                </c:pt>
                <c:pt idx="39">
                  <c:v>2460</c:v>
                </c:pt>
                <c:pt idx="40">
                  <c:v>1280</c:v>
                </c:pt>
                <c:pt idx="41">
                  <c:v>4809</c:v>
                </c:pt>
                <c:pt idx="42">
                  <c:v>1991</c:v>
                </c:pt>
                <c:pt idx="43">
                  <c:v>1350</c:v>
                </c:pt>
                <c:pt idx="44">
                  <c:v>2738</c:v>
                </c:pt>
                <c:pt idx="45">
                  <c:v>1600</c:v>
                </c:pt>
                <c:pt idx="46">
                  <c:v>1475</c:v>
                </c:pt>
                <c:pt idx="47">
                  <c:v>3703</c:v>
                </c:pt>
                <c:pt idx="48">
                  <c:v>1260</c:v>
                </c:pt>
                <c:pt idx="49">
                  <c:v>1340</c:v>
                </c:pt>
                <c:pt idx="50">
                  <c:v>1500</c:v>
                </c:pt>
                <c:pt idx="51">
                  <c:v>1290</c:v>
                </c:pt>
                <c:pt idx="52">
                  <c:v>1500</c:v>
                </c:pt>
                <c:pt idx="53">
                  <c:v>2511</c:v>
                </c:pt>
                <c:pt idx="54">
                  <c:v>3045</c:v>
                </c:pt>
                <c:pt idx="55">
                  <c:v>1975</c:v>
                </c:pt>
                <c:pt idx="56">
                  <c:v>1550</c:v>
                </c:pt>
                <c:pt idx="57">
                  <c:v>1855</c:v>
                </c:pt>
                <c:pt idx="58">
                  <c:v>1520</c:v>
                </c:pt>
                <c:pt idx="59">
                  <c:v>2841</c:v>
                </c:pt>
                <c:pt idx="60">
                  <c:v>1250</c:v>
                </c:pt>
                <c:pt idx="61">
                  <c:v>1611</c:v>
                </c:pt>
                <c:pt idx="62">
                  <c:v>1600</c:v>
                </c:pt>
                <c:pt idx="63">
                  <c:v>1125</c:v>
                </c:pt>
                <c:pt idx="64">
                  <c:v>1540</c:v>
                </c:pt>
                <c:pt idx="65">
                  <c:v>1033</c:v>
                </c:pt>
                <c:pt idx="66">
                  <c:v>1578</c:v>
                </c:pt>
                <c:pt idx="67">
                  <c:v>500</c:v>
                </c:pt>
                <c:pt idx="68">
                  <c:v>1500</c:v>
                </c:pt>
                <c:pt idx="69">
                  <c:v>17594</c:v>
                </c:pt>
                <c:pt idx="70">
                  <c:v>2620</c:v>
                </c:pt>
                <c:pt idx="71">
                  <c:v>4455</c:v>
                </c:pt>
                <c:pt idx="72">
                  <c:v>3829</c:v>
                </c:pt>
                <c:pt idx="73">
                  <c:v>2680</c:v>
                </c:pt>
                <c:pt idx="74">
                  <c:v>1325</c:v>
                </c:pt>
                <c:pt idx="75">
                  <c:v>1820</c:v>
                </c:pt>
                <c:pt idx="76">
                  <c:v>2024</c:v>
                </c:pt>
                <c:pt idx="77">
                  <c:v>1500</c:v>
                </c:pt>
                <c:pt idx="78">
                  <c:v>1618</c:v>
                </c:pt>
                <c:pt idx="79">
                  <c:v>1575</c:v>
                </c:pt>
                <c:pt idx="80">
                  <c:v>1470</c:v>
                </c:pt>
                <c:pt idx="81">
                  <c:v>1356</c:v>
                </c:pt>
                <c:pt idx="82">
                  <c:v>8533</c:v>
                </c:pt>
                <c:pt idx="83">
                  <c:v>7371</c:v>
                </c:pt>
                <c:pt idx="84">
                  <c:v>15945</c:v>
                </c:pt>
                <c:pt idx="85">
                  <c:v>3500</c:v>
                </c:pt>
                <c:pt idx="86">
                  <c:v>7509</c:v>
                </c:pt>
                <c:pt idx="87">
                  <c:v>14267</c:v>
                </c:pt>
                <c:pt idx="88">
                  <c:v>1200</c:v>
                </c:pt>
                <c:pt idx="89">
                  <c:v>4899</c:v>
                </c:pt>
                <c:pt idx="90">
                  <c:v>1629</c:v>
                </c:pt>
                <c:pt idx="91">
                  <c:v>3013</c:v>
                </c:pt>
                <c:pt idx="92">
                  <c:v>3165</c:v>
                </c:pt>
                <c:pt idx="93">
                  <c:v>3291</c:v>
                </c:pt>
                <c:pt idx="94">
                  <c:v>1375</c:v>
                </c:pt>
                <c:pt idx="95">
                  <c:v>8824</c:v>
                </c:pt>
                <c:pt idx="96">
                  <c:v>3830</c:v>
                </c:pt>
                <c:pt idx="97">
                  <c:v>1325</c:v>
                </c:pt>
                <c:pt idx="98">
                  <c:v>4305</c:v>
                </c:pt>
                <c:pt idx="99">
                  <c:v>3473</c:v>
                </c:pt>
                <c:pt idx="100">
                  <c:v>1220</c:v>
                </c:pt>
                <c:pt idx="101">
                  <c:v>3235</c:v>
                </c:pt>
                <c:pt idx="102">
                  <c:v>1602</c:v>
                </c:pt>
                <c:pt idx="103">
                  <c:v>3948</c:v>
                </c:pt>
                <c:pt idx="104">
                  <c:v>1470</c:v>
                </c:pt>
                <c:pt idx="105">
                  <c:v>4696</c:v>
                </c:pt>
                <c:pt idx="106">
                  <c:v>3650</c:v>
                </c:pt>
                <c:pt idx="107">
                  <c:v>1260</c:v>
                </c:pt>
                <c:pt idx="108">
                  <c:v>3095</c:v>
                </c:pt>
                <c:pt idx="109">
                  <c:v>1252</c:v>
                </c:pt>
                <c:pt idx="110">
                  <c:v>1850</c:v>
                </c:pt>
                <c:pt idx="111">
                  <c:v>1600</c:v>
                </c:pt>
                <c:pt idx="112">
                  <c:v>4602</c:v>
                </c:pt>
                <c:pt idx="113">
                  <c:v>2795</c:v>
                </c:pt>
                <c:pt idx="114">
                  <c:v>1150</c:v>
                </c:pt>
                <c:pt idx="115">
                  <c:v>4679</c:v>
                </c:pt>
                <c:pt idx="116">
                  <c:v>1375</c:v>
                </c:pt>
                <c:pt idx="117">
                  <c:v>2164</c:v>
                </c:pt>
                <c:pt idx="118">
                  <c:v>1595</c:v>
                </c:pt>
                <c:pt idx="119">
                  <c:v>1419</c:v>
                </c:pt>
                <c:pt idx="120">
                  <c:v>12773</c:v>
                </c:pt>
                <c:pt idx="121">
                  <c:v>1800</c:v>
                </c:pt>
                <c:pt idx="122">
                  <c:v>7339</c:v>
                </c:pt>
                <c:pt idx="123">
                  <c:v>3495</c:v>
                </c:pt>
                <c:pt idx="124">
                  <c:v>2650</c:v>
                </c:pt>
                <c:pt idx="125">
                  <c:v>1540</c:v>
                </c:pt>
                <c:pt idx="126">
                  <c:v>1415</c:v>
                </c:pt>
                <c:pt idx="127">
                  <c:v>1904</c:v>
                </c:pt>
                <c:pt idx="128">
                  <c:v>1660</c:v>
                </c:pt>
                <c:pt idx="129">
                  <c:v>1976</c:v>
                </c:pt>
                <c:pt idx="130">
                  <c:v>1190</c:v>
                </c:pt>
                <c:pt idx="131">
                  <c:v>1320</c:v>
                </c:pt>
                <c:pt idx="132">
                  <c:v>3573</c:v>
                </c:pt>
                <c:pt idx="133">
                  <c:v>4428</c:v>
                </c:pt>
                <c:pt idx="134">
                  <c:v>7097</c:v>
                </c:pt>
                <c:pt idx="135">
                  <c:v>2453</c:v>
                </c:pt>
                <c:pt idx="136">
                  <c:v>9232</c:v>
                </c:pt>
                <c:pt idx="137">
                  <c:v>4605</c:v>
                </c:pt>
                <c:pt idx="138">
                  <c:v>2928</c:v>
                </c:pt>
                <c:pt idx="139">
                  <c:v>3121</c:v>
                </c:pt>
                <c:pt idx="140">
                  <c:v>1800</c:v>
                </c:pt>
                <c:pt idx="141">
                  <c:v>3280</c:v>
                </c:pt>
                <c:pt idx="142">
                  <c:v>912</c:v>
                </c:pt>
                <c:pt idx="143">
                  <c:v>1600</c:v>
                </c:pt>
                <c:pt idx="144">
                  <c:v>4715</c:v>
                </c:pt>
                <c:pt idx="145">
                  <c:v>1282</c:v>
                </c:pt>
                <c:pt idx="146">
                  <c:v>1720</c:v>
                </c:pt>
                <c:pt idx="147">
                  <c:v>3330</c:v>
                </c:pt>
                <c:pt idx="148">
                  <c:v>2006</c:v>
                </c:pt>
                <c:pt idx="149">
                  <c:v>2400</c:v>
                </c:pt>
                <c:pt idx="150">
                  <c:v>1250</c:v>
                </c:pt>
                <c:pt idx="151">
                  <c:v>1824</c:v>
                </c:pt>
                <c:pt idx="152">
                  <c:v>1780</c:v>
                </c:pt>
                <c:pt idx="153">
                  <c:v>1508</c:v>
                </c:pt>
                <c:pt idx="154">
                  <c:v>9244</c:v>
                </c:pt>
                <c:pt idx="155">
                  <c:v>1544</c:v>
                </c:pt>
                <c:pt idx="156">
                  <c:v>4050</c:v>
                </c:pt>
                <c:pt idx="157">
                  <c:v>2983</c:v>
                </c:pt>
                <c:pt idx="158">
                  <c:v>2405</c:v>
                </c:pt>
                <c:pt idx="159">
                  <c:v>1450</c:v>
                </c:pt>
                <c:pt idx="160">
                  <c:v>1710</c:v>
                </c:pt>
                <c:pt idx="161">
                  <c:v>2980</c:v>
                </c:pt>
                <c:pt idx="162">
                  <c:v>1641</c:v>
                </c:pt>
                <c:pt idx="163">
                  <c:v>1566</c:v>
                </c:pt>
                <c:pt idx="164">
                  <c:v>1415</c:v>
                </c:pt>
                <c:pt idx="165">
                  <c:v>1565</c:v>
                </c:pt>
                <c:pt idx="166">
                  <c:v>1798</c:v>
                </c:pt>
                <c:pt idx="167">
                  <c:v>1875</c:v>
                </c:pt>
                <c:pt idx="168">
                  <c:v>2775</c:v>
                </c:pt>
                <c:pt idx="169">
                  <c:v>2420</c:v>
                </c:pt>
                <c:pt idx="170">
                  <c:v>4698</c:v>
                </c:pt>
                <c:pt idx="171">
                  <c:v>1550</c:v>
                </c:pt>
                <c:pt idx="172">
                  <c:v>1870</c:v>
                </c:pt>
                <c:pt idx="173">
                  <c:v>1800</c:v>
                </c:pt>
                <c:pt idx="174">
                  <c:v>1530</c:v>
                </c:pt>
                <c:pt idx="175">
                  <c:v>4511</c:v>
                </c:pt>
                <c:pt idx="176">
                  <c:v>9766</c:v>
                </c:pt>
                <c:pt idx="177">
                  <c:v>1867</c:v>
                </c:pt>
                <c:pt idx="178">
                  <c:v>2770</c:v>
                </c:pt>
                <c:pt idx="179">
                  <c:v>1385</c:v>
                </c:pt>
                <c:pt idx="180">
                  <c:v>1314</c:v>
                </c:pt>
                <c:pt idx="181">
                  <c:v>3502</c:v>
                </c:pt>
                <c:pt idx="182">
                  <c:v>2000</c:v>
                </c:pt>
                <c:pt idx="183">
                  <c:v>3630</c:v>
                </c:pt>
                <c:pt idx="184">
                  <c:v>1384</c:v>
                </c:pt>
                <c:pt idx="185">
                  <c:v>3761</c:v>
                </c:pt>
                <c:pt idx="186">
                  <c:v>2700</c:v>
                </c:pt>
                <c:pt idx="187">
                  <c:v>1592</c:v>
                </c:pt>
                <c:pt idx="188">
                  <c:v>2795</c:v>
                </c:pt>
                <c:pt idx="189">
                  <c:v>4750</c:v>
                </c:pt>
                <c:pt idx="190">
                  <c:v>22429</c:v>
                </c:pt>
                <c:pt idx="191">
                  <c:v>1330</c:v>
                </c:pt>
                <c:pt idx="192">
                  <c:v>1150</c:v>
                </c:pt>
                <c:pt idx="193">
                  <c:v>2072</c:v>
                </c:pt>
                <c:pt idx="194">
                  <c:v>1300</c:v>
                </c:pt>
                <c:pt idx="195">
                  <c:v>1570</c:v>
                </c:pt>
                <c:pt idx="196">
                  <c:v>1440</c:v>
                </c:pt>
                <c:pt idx="197">
                  <c:v>1500</c:v>
                </c:pt>
                <c:pt idx="198">
                  <c:v>1600</c:v>
                </c:pt>
                <c:pt idx="199">
                  <c:v>1025</c:v>
                </c:pt>
                <c:pt idx="200">
                  <c:v>1180</c:v>
                </c:pt>
                <c:pt idx="201">
                  <c:v>1450</c:v>
                </c:pt>
                <c:pt idx="202">
                  <c:v>1560</c:v>
                </c:pt>
                <c:pt idx="203">
                  <c:v>3503</c:v>
                </c:pt>
                <c:pt idx="204">
                  <c:v>11</c:v>
                </c:pt>
                <c:pt idx="205">
                  <c:v>1563</c:v>
                </c:pt>
                <c:pt idx="206">
                  <c:v>1200</c:v>
                </c:pt>
                <c:pt idx="207">
                  <c:v>1580</c:v>
                </c:pt>
                <c:pt idx="208">
                  <c:v>1868</c:v>
                </c:pt>
                <c:pt idx="209">
                  <c:v>6825</c:v>
                </c:pt>
                <c:pt idx="210">
                  <c:v>1350</c:v>
                </c:pt>
                <c:pt idx="211">
                  <c:v>1425</c:v>
                </c:pt>
                <c:pt idx="212">
                  <c:v>18619</c:v>
                </c:pt>
                <c:pt idx="213">
                  <c:v>4395</c:v>
                </c:pt>
                <c:pt idx="214">
                  <c:v>2072</c:v>
                </c:pt>
                <c:pt idx="215">
                  <c:v>1500</c:v>
                </c:pt>
                <c:pt idx="216">
                  <c:v>3279</c:v>
                </c:pt>
                <c:pt idx="217">
                  <c:v>1630</c:v>
                </c:pt>
                <c:pt idx="218">
                  <c:v>2135</c:v>
                </c:pt>
                <c:pt idx="219">
                  <c:v>1600</c:v>
                </c:pt>
                <c:pt idx="220">
                  <c:v>11382</c:v>
                </c:pt>
                <c:pt idx="221">
                  <c:v>1750</c:v>
                </c:pt>
                <c:pt idx="222">
                  <c:v>1535</c:v>
                </c:pt>
                <c:pt idx="223">
                  <c:v>1560</c:v>
                </c:pt>
                <c:pt idx="224">
                  <c:v>1500</c:v>
                </c:pt>
                <c:pt idx="225">
                  <c:v>1400</c:v>
                </c:pt>
                <c:pt idx="226">
                  <c:v>1485</c:v>
                </c:pt>
                <c:pt idx="227">
                  <c:v>9993</c:v>
                </c:pt>
                <c:pt idx="228">
                  <c:v>31542</c:v>
                </c:pt>
                <c:pt idx="229">
                  <c:v>1500</c:v>
                </c:pt>
                <c:pt idx="230">
                  <c:v>1350</c:v>
                </c:pt>
                <c:pt idx="231">
                  <c:v>2864</c:v>
                </c:pt>
                <c:pt idx="232">
                  <c:v>42736</c:v>
                </c:pt>
                <c:pt idx="233">
                  <c:v>1595</c:v>
                </c:pt>
                <c:pt idx="234">
                  <c:v>8275</c:v>
                </c:pt>
                <c:pt idx="235">
                  <c:v>776176</c:v>
                </c:pt>
              </c:numCache>
            </c:numRef>
          </c:val>
          <c:smooth val="0"/>
          <c:extLst>
            <c:ext xmlns:c16="http://schemas.microsoft.com/office/drawing/2014/chart" uri="{C3380CC4-5D6E-409C-BE32-E72D297353CC}">
              <c16:uniqueId val="{00000001-EBCB-4A7F-AC12-7428FD0ED459}"/>
            </c:ext>
          </c:extLst>
        </c:ser>
        <c:dLbls>
          <c:showLegendKey val="0"/>
          <c:showVal val="0"/>
          <c:showCatName val="0"/>
          <c:showSerName val="0"/>
          <c:showPercent val="0"/>
          <c:showBubbleSize val="0"/>
        </c:dLbls>
        <c:marker val="1"/>
        <c:smooth val="0"/>
        <c:axId val="1290152872"/>
        <c:axId val="838315916"/>
      </c:lineChart>
      <c:catAx>
        <c:axId val="1290152872"/>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n-US"/>
          </a:p>
        </c:txPr>
        <c:crossAx val="838315916"/>
        <c:crosses val="autoZero"/>
        <c:auto val="1"/>
        <c:lblAlgn val="ctr"/>
        <c:lblOffset val="100"/>
        <c:noMultiLvlLbl val="1"/>
      </c:catAx>
      <c:valAx>
        <c:axId val="83831591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sz="900" b="0" i="0">
                <a:solidFill>
                  <a:schemeClr val="dk1"/>
                </a:solidFill>
                <a:latin typeface="+mn-lt"/>
              </a:defRPr>
            </a:pPr>
            <a:endParaRPr lang="en-US"/>
          </a:p>
        </c:txPr>
        <c:crossAx val="1290152872"/>
        <c:crosses val="autoZero"/>
        <c:crossBetween val="between"/>
      </c:valAx>
      <c:spPr>
        <a:solidFill>
          <a:schemeClr val="lt1"/>
        </a:solidFill>
      </c:spPr>
    </c:plotArea>
    <c:legend>
      <c:legendPos val="r"/>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[bengaluru_house_prices-AJ25(AutoRecovered) (1) (1).xlsx]Sheet1!PivotTable1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Size vs Average Price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Sheet1!$J$120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Sheet1!$I$121:$I$132</c:f>
              <c:strCache>
                <c:ptCount val="11"/>
                <c:pt idx="1">
                  <c:v>1 </c:v>
                </c:pt>
                <c:pt idx="2">
                  <c:v>11</c:v>
                </c:pt>
                <c:pt idx="3">
                  <c:v>2 </c:v>
                </c:pt>
                <c:pt idx="4">
                  <c:v>3 </c:v>
                </c:pt>
                <c:pt idx="5">
                  <c:v>4 </c:v>
                </c:pt>
                <c:pt idx="6">
                  <c:v>5 </c:v>
                </c:pt>
                <c:pt idx="7">
                  <c:v>6 </c:v>
                </c:pt>
                <c:pt idx="8">
                  <c:v>7 </c:v>
                </c:pt>
                <c:pt idx="9">
                  <c:v>8 </c:v>
                </c:pt>
                <c:pt idx="10">
                  <c:v>9 </c:v>
                </c:pt>
              </c:strCache>
            </c:strRef>
          </c:cat>
          <c:val>
            <c:numRef>
              <c:f>Sheet1!$J$121:$J$132</c:f>
              <c:numCache>
                <c:formatCode>0.00%</c:formatCode>
                <c:ptCount val="11"/>
                <c:pt idx="0">
                  <c:v>0.31602484035569628</c:v>
                </c:pt>
                <c:pt idx="1">
                  <c:v>0.33434943586608712</c:v>
                </c:pt>
                <c:pt idx="2">
                  <c:v>3.3280369322232168</c:v>
                </c:pt>
                <c:pt idx="3">
                  <c:v>0.54043648576269865</c:v>
                </c:pt>
                <c:pt idx="4">
                  <c:v>0.97168546152480062</c:v>
                </c:pt>
                <c:pt idx="5">
                  <c:v>2.4649078699503737</c:v>
                </c:pt>
                <c:pt idx="6">
                  <c:v>1.9283826901632106</c:v>
                </c:pt>
                <c:pt idx="7">
                  <c:v>1.9427244396537584</c:v>
                </c:pt>
                <c:pt idx="8">
                  <c:v>4.9920553983348253</c:v>
                </c:pt>
                <c:pt idx="9">
                  <c:v>1.5595550846279351</c:v>
                </c:pt>
                <c:pt idx="10">
                  <c:v>2.3111367584883449</c:v>
                </c:pt>
              </c:numCache>
            </c:numRef>
          </c:val>
          <c:extLst>
            <c:ext xmlns:c16="http://schemas.microsoft.com/office/drawing/2014/chart" uri="{C3380CC4-5D6E-409C-BE32-E72D297353CC}">
              <c16:uniqueId val="{00000000-53CF-49FA-9ED0-49681C3C7898}"/>
            </c:ext>
          </c:extLst>
        </c:ser>
        <c:dLbls>
          <c:dLblPos val="outEnd"/>
          <c:showLegendKey val="0"/>
          <c:showVal val="0"/>
          <c:showCatName val="0"/>
          <c:showSerName val="0"/>
          <c:showPercent val="0"/>
          <c:showBubbleSize val="0"/>
        </c:dLbls>
        <c:gapWidth val="164"/>
        <c:overlap val="-22"/>
        <c:axId val="2139000096"/>
        <c:axId val="2139001536"/>
      </c:barChart>
      <c:catAx>
        <c:axId val="21390000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001536"/>
        <c:crosses val="autoZero"/>
        <c:auto val="1"/>
        <c:lblAlgn val="ctr"/>
        <c:lblOffset val="100"/>
        <c:noMultiLvlLbl val="0"/>
      </c:catAx>
      <c:valAx>
        <c:axId val="2139001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00009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Bedroom wise Average Price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1"/>
        <c:ser>
          <c:idx val="0"/>
          <c:order val="0"/>
          <c:tx>
            <c:v>Total</c:v>
          </c:tx>
          <c:invertIfNegative val="1"/>
          <c:dPt>
            <c:idx val="0"/>
            <c:invertIfNegative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C63-4E02-A300-95FB18B3EA45}"/>
              </c:ext>
            </c:extLst>
          </c:dPt>
          <c:dPt>
            <c:idx val="1"/>
            <c:invertIfNegative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C63-4E02-A300-95FB18B3EA45}"/>
              </c:ext>
            </c:extLst>
          </c:dPt>
          <c:dPt>
            <c:idx val="2"/>
            <c:invertIfNegative val="1"/>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C63-4E02-A300-95FB18B3EA45}"/>
              </c:ext>
            </c:extLst>
          </c:dPt>
          <c:dPt>
            <c:idx val="3"/>
            <c:invertIfNegative val="1"/>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C63-4E02-A300-95FB18B3EA45}"/>
              </c:ext>
            </c:extLst>
          </c:dPt>
          <c:dPt>
            <c:idx val="4"/>
            <c:invertIfNegative val="1"/>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C63-4E02-A300-95FB18B3EA45}"/>
              </c:ext>
            </c:extLst>
          </c:dPt>
          <c:dPt>
            <c:idx val="5"/>
            <c:invertIfNegative val="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C63-4E02-A300-95FB18B3EA45}"/>
              </c:ext>
            </c:extLst>
          </c:dPt>
          <c:dPt>
            <c:idx val="6"/>
            <c:invertIfNegative val="1"/>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1C63-4E02-A300-95FB18B3EA45}"/>
              </c:ext>
            </c:extLst>
          </c:dPt>
          <c:dPt>
            <c:idx val="7"/>
            <c:invertIfNegative val="1"/>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1C63-4E02-A300-95FB18B3EA45}"/>
              </c:ext>
            </c:extLst>
          </c:dPt>
          <c:dPt>
            <c:idx val="8"/>
            <c:invertIfNegative val="1"/>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1C63-4E02-A300-95FB18B3EA45}"/>
              </c:ext>
            </c:extLst>
          </c:dPt>
          <c:dPt>
            <c:idx val="9"/>
            <c:invertIfNegative val="1"/>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1C63-4E02-A300-95FB18B3EA45}"/>
              </c:ext>
            </c:extLst>
          </c:dPt>
          <c:dPt>
            <c:idx val="10"/>
            <c:invertIfNegative val="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1C63-4E02-A300-95FB18B3EA45}"/>
              </c:ext>
            </c:extLst>
          </c:dPt>
          <c:dPt>
            <c:idx val="11"/>
            <c:invertIfNegative val="1"/>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1C63-4E02-A300-95FB18B3EA45}"/>
              </c:ext>
            </c:extLst>
          </c:dPt>
          <c:dPt>
            <c:idx val="12"/>
            <c:invertIfNegative val="1"/>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1C63-4E02-A300-95FB18B3EA45}"/>
              </c:ext>
            </c:extLst>
          </c:dPt>
          <c:dLbls>
            <c:dLbl>
              <c:idx val="6"/>
              <c:layout>
                <c:manualLayout>
                  <c:x val="1.4134275618374558E-2"/>
                  <c:y val="-8.242424242424242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C63-4E02-A300-95FB18B3EA45}"/>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Sheet3!$A$462:$A$474</c:f>
              <c:strCache>
                <c:ptCount val="13"/>
                <c:pt idx="0">
                  <c:v>1</c:v>
                </c:pt>
                <c:pt idx="1">
                  <c:v>2</c:v>
                </c:pt>
                <c:pt idx="2">
                  <c:v>3</c:v>
                </c:pt>
                <c:pt idx="3">
                  <c:v>4</c:v>
                </c:pt>
                <c:pt idx="4">
                  <c:v>5</c:v>
                </c:pt>
                <c:pt idx="5">
                  <c:v>6</c:v>
                </c:pt>
                <c:pt idx="6">
                  <c:v>7</c:v>
                </c:pt>
                <c:pt idx="7">
                  <c:v>8</c:v>
                </c:pt>
                <c:pt idx="8">
                  <c:v>9</c:v>
                </c:pt>
                <c:pt idx="9">
                  <c:v>10</c:v>
                </c:pt>
                <c:pt idx="10">
                  <c:v>11</c:v>
                </c:pt>
                <c:pt idx="11">
                  <c:v>14</c:v>
                </c:pt>
                <c:pt idx="12">
                  <c:v>Grand Total</c:v>
                </c:pt>
              </c:strCache>
            </c:strRef>
          </c:cat>
          <c:val>
            <c:numRef>
              <c:f>Sheet3!$B$462:$B$474</c:f>
              <c:numCache>
                <c:formatCode>General</c:formatCode>
                <c:ptCount val="13"/>
                <c:pt idx="0">
                  <c:v>403065.06024096388</c:v>
                </c:pt>
                <c:pt idx="1">
                  <c:v>643970.07633587788</c:v>
                </c:pt>
                <c:pt idx="2">
                  <c:v>1208493.1309904153</c:v>
                </c:pt>
                <c:pt idx="3">
                  <c:v>2281463.3928571427</c:v>
                </c:pt>
                <c:pt idx="4">
                  <c:v>2910697.6744186045</c:v>
                </c:pt>
                <c:pt idx="5">
                  <c:v>2908947.3684210526</c:v>
                </c:pt>
                <c:pt idx="6">
                  <c:v>3248571.4285714286</c:v>
                </c:pt>
                <c:pt idx="7">
                  <c:v>2595000</c:v>
                </c:pt>
                <c:pt idx="8">
                  <c:v>2450000</c:v>
                </c:pt>
                <c:pt idx="9">
                  <c:v>1700000</c:v>
                </c:pt>
                <c:pt idx="10">
                  <c:v>2900000</c:v>
                </c:pt>
                <c:pt idx="11">
                  <c:v>5000000</c:v>
                </c:pt>
                <c:pt idx="12">
                  <c:v>1081718.764940239</c:v>
                </c:pt>
              </c:numCache>
            </c:numRef>
          </c:val>
          <c:extLst>
            <c:ext xmlns:c16="http://schemas.microsoft.com/office/drawing/2014/chart" uri="{C3380CC4-5D6E-409C-BE32-E72D297353CC}">
              <c16:uniqueId val="{0000001A-1C63-4E02-A300-95FB18B3EA45}"/>
            </c:ext>
          </c:extLst>
        </c:ser>
        <c:dLbls>
          <c:showLegendKey val="0"/>
          <c:showVal val="0"/>
          <c:showCatName val="0"/>
          <c:showSerName val="0"/>
          <c:showPercent val="0"/>
          <c:showBubbleSize val="0"/>
        </c:dLbls>
        <c:gapWidth val="100"/>
        <c:overlap val="-24"/>
        <c:axId val="1053907327"/>
        <c:axId val="850580502"/>
      </c:barChart>
      <c:catAx>
        <c:axId val="1053907327"/>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0580502"/>
        <c:crosses val="autoZero"/>
        <c:auto val="1"/>
        <c:lblAlgn val="ctr"/>
        <c:lblOffset val="100"/>
        <c:noMultiLvlLbl val="1"/>
      </c:catAx>
      <c:valAx>
        <c:axId val="85058050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539073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1"/>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solidFill>
            <a:schemeClr val="tx2"/>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400" b="0" i="0" u="none" strike="noStrike" kern="1200" baseline="0">
                <a:solidFill>
                  <a:srgbClr val="757575"/>
                </a:solidFill>
                <a:latin typeface="+mn-lt"/>
                <a:ea typeface="+mn-ea"/>
                <a:cs typeface="+mn-cs"/>
              </a:defRPr>
            </a:pPr>
            <a:r>
              <a:rPr lang="en-IN" sz="1400" b="0" i="0">
                <a:solidFill>
                  <a:srgbClr val="757575"/>
                </a:solidFill>
                <a:latin typeface="+mn-lt"/>
              </a:rPr>
              <a:t>Location wise by</a:t>
            </a:r>
            <a:r>
              <a:rPr lang="en-IN" sz="1400" b="0" i="0" baseline="0">
                <a:solidFill>
                  <a:srgbClr val="757575"/>
                </a:solidFill>
                <a:latin typeface="+mn-lt"/>
              </a:rPr>
              <a:t> </a:t>
            </a:r>
            <a:r>
              <a:rPr lang="en-IN" sz="1400" b="0" i="0">
                <a:solidFill>
                  <a:srgbClr val="757575"/>
                </a:solidFill>
                <a:latin typeface="+mn-lt"/>
              </a:rPr>
              <a:t> Price</a:t>
            </a:r>
          </a:p>
        </c:rich>
      </c:tx>
      <c:overlay val="0"/>
      <c:spPr>
        <a:noFill/>
        <a:ln>
          <a:noFill/>
        </a:ln>
        <a:effectLst/>
      </c:spPr>
      <c:txPr>
        <a:bodyPr rot="0" spcFirstLastPara="1" vertOverflow="ellipsis" vert="horz" wrap="square" anchor="ctr" anchorCtr="1"/>
        <a:lstStyle/>
        <a:p>
          <a:pPr lvl="0">
            <a:defRPr sz="1400" b="0" i="0" u="none" strike="noStrike" kern="1200" baseline="0">
              <a:solidFill>
                <a:srgbClr val="757575"/>
              </a:solidFill>
              <a:latin typeface="+mn-lt"/>
              <a:ea typeface="+mn-ea"/>
              <a:cs typeface="+mn-cs"/>
            </a:defRPr>
          </a:pPr>
          <a:endParaRPr lang="en-US"/>
        </a:p>
      </c:txPr>
    </c:title>
    <c:autoTitleDeleted val="0"/>
    <c:plotArea>
      <c:layout/>
      <c:barChart>
        <c:barDir val="bar"/>
        <c:grouping val="clustered"/>
        <c:varyColors val="1"/>
        <c:ser>
          <c:idx val="0"/>
          <c:order val="0"/>
          <c:tx>
            <c:v>Total</c:v>
          </c:tx>
          <c:invertIfNegative val="1"/>
          <c:dPt>
            <c:idx val="0"/>
            <c:invertIfNegative val="1"/>
            <c:bubble3D val="0"/>
            <c:spPr>
              <a:solidFill>
                <a:schemeClr val="accent6"/>
              </a:solidFill>
              <a:ln>
                <a:noFill/>
              </a:ln>
              <a:effectLst/>
            </c:spPr>
          </c:dPt>
          <c:dPt>
            <c:idx val="1"/>
            <c:invertIfNegative val="1"/>
            <c:bubble3D val="0"/>
            <c:spPr>
              <a:solidFill>
                <a:schemeClr val="accent5"/>
              </a:solidFill>
              <a:ln>
                <a:noFill/>
              </a:ln>
              <a:effectLst/>
            </c:spPr>
          </c:dPt>
          <c:dPt>
            <c:idx val="2"/>
            <c:invertIfNegative val="1"/>
            <c:bubble3D val="0"/>
            <c:spPr>
              <a:solidFill>
                <a:schemeClr val="accent4"/>
              </a:solidFill>
              <a:ln>
                <a:noFill/>
              </a:ln>
              <a:effectLst/>
            </c:spPr>
          </c:dPt>
          <c:dPt>
            <c:idx val="3"/>
            <c:invertIfNegative val="1"/>
            <c:bubble3D val="0"/>
            <c:spPr>
              <a:solidFill>
                <a:schemeClr val="accent6">
                  <a:lumMod val="60000"/>
                </a:schemeClr>
              </a:solidFill>
              <a:ln>
                <a:noFill/>
              </a:ln>
              <a:effectLst/>
            </c:spPr>
          </c:dPt>
          <c:dPt>
            <c:idx val="4"/>
            <c:invertIfNegative val="1"/>
            <c:bubble3D val="0"/>
            <c:spPr>
              <a:solidFill>
                <a:schemeClr val="accent5">
                  <a:lumMod val="60000"/>
                </a:schemeClr>
              </a:solidFill>
              <a:ln>
                <a:noFill/>
              </a:ln>
              <a:effectLst/>
            </c:spPr>
          </c:dPt>
          <c:dPt>
            <c:idx val="5"/>
            <c:invertIfNegative val="1"/>
            <c:bubble3D val="0"/>
            <c:spPr>
              <a:solidFill>
                <a:schemeClr val="accent4">
                  <a:lumMod val="60000"/>
                </a:schemeClr>
              </a:solidFill>
              <a:ln>
                <a:noFill/>
              </a:ln>
              <a:effectLst/>
            </c:spPr>
          </c:dPt>
          <c:dLbls>
            <c:spPr>
              <a:noFill/>
              <a:ln>
                <a:noFill/>
              </a:ln>
              <a:effectLst/>
            </c:spPr>
            <c:txPr>
              <a:bodyPr rot="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Sheet3!$A$4:$A$9</c:f>
              <c:strCache>
                <c:ptCount val="6"/>
                <c:pt idx="0">
                  <c:v>Binnamangala</c:v>
                </c:pt>
                <c:pt idx="1">
                  <c:v>Cunningham Road</c:v>
                </c:pt>
                <c:pt idx="2">
                  <c:v>Hunasamaranahalli</c:v>
                </c:pt>
                <c:pt idx="3">
                  <c:v>Sector 1 HSR Layout</c:v>
                </c:pt>
                <c:pt idx="4">
                  <c:v>Siddapura</c:v>
                </c:pt>
                <c:pt idx="5">
                  <c:v>Grand Total</c:v>
                </c:pt>
              </c:strCache>
            </c:strRef>
          </c:cat>
          <c:val>
            <c:numRef>
              <c:f>Sheet3!$B$4:$B$9</c:f>
              <c:numCache>
                <c:formatCode>General</c:formatCode>
                <c:ptCount val="6"/>
                <c:pt idx="0">
                  <c:v>9000000</c:v>
                </c:pt>
                <c:pt idx="1">
                  <c:v>12500000</c:v>
                </c:pt>
                <c:pt idx="2">
                  <c:v>6750000</c:v>
                </c:pt>
                <c:pt idx="3">
                  <c:v>7750000</c:v>
                </c:pt>
                <c:pt idx="4">
                  <c:v>8000000</c:v>
                </c:pt>
                <c:pt idx="5">
                  <c:v>8800000</c:v>
                </c:pt>
              </c:numCache>
            </c:numRef>
          </c:val>
          <c:extLst>
            <c:ext xmlns:c16="http://schemas.microsoft.com/office/drawing/2014/chart" uri="{C3380CC4-5D6E-409C-BE32-E72D297353CC}">
              <c16:uniqueId val="{00000000-4AB4-4626-9B3F-4C9703398B21}"/>
            </c:ext>
          </c:extLst>
        </c:ser>
        <c:dLbls>
          <c:showLegendKey val="0"/>
          <c:showVal val="0"/>
          <c:showCatName val="0"/>
          <c:showSerName val="0"/>
          <c:showPercent val="0"/>
          <c:showBubbleSize val="0"/>
        </c:dLbls>
        <c:gapWidth val="150"/>
        <c:axId val="188663337"/>
        <c:axId val="1273788669"/>
      </c:barChart>
      <c:catAx>
        <c:axId val="188663337"/>
        <c:scaling>
          <c:orientation val="maxMin"/>
        </c:scaling>
        <c:delete val="0"/>
        <c:axPos val="l"/>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IN"/>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n-US"/>
          </a:p>
        </c:txPr>
        <c:crossAx val="1273788669"/>
        <c:crosses val="autoZero"/>
        <c:auto val="1"/>
        <c:lblAlgn val="ctr"/>
        <c:lblOffset val="100"/>
        <c:noMultiLvlLbl val="1"/>
      </c:catAx>
      <c:valAx>
        <c:axId val="1273788669"/>
        <c:scaling>
          <c:orientation val="minMax"/>
        </c:scaling>
        <c:delete val="0"/>
        <c:axPos val="b"/>
        <c:majorGridlines>
          <c:spPr>
            <a:ln w="6350" cap="flat" cmpd="sng" algn="ctr">
              <a:solidFill>
                <a:srgbClr val="B7B7B7"/>
              </a:solidFill>
              <a:prstDash val="solid"/>
              <a:round/>
            </a:ln>
            <a:effectLst/>
          </c:spPr>
        </c:majorGridlines>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n-US"/>
          </a:p>
        </c:txPr>
        <c:crossAx val="188663337"/>
        <c:crosses val="max"/>
        <c:crossBetween val="between"/>
      </c:valAx>
      <c:spPr>
        <a:solidFill>
          <a:schemeClr val="bg1"/>
        </a:solidFill>
        <a:ln>
          <a:noFill/>
        </a:ln>
        <a:effectLst/>
      </c:spPr>
    </c:plotArea>
    <c:legend>
      <c:legendPos val="r"/>
      <c:layout>
        <c:manualLayout>
          <c:xMode val="edge"/>
          <c:yMode val="edge"/>
          <c:x val="0.71359793344116407"/>
          <c:y val="0.31257239186565094"/>
          <c:w val="0.26834337581391493"/>
          <c:h val="0.54878432878816974"/>
        </c:manualLayout>
      </c:layout>
      <c:overlay val="0"/>
      <c:spPr>
        <a:noFill/>
        <a:ln>
          <a:noFill/>
        </a:ln>
        <a:effectLst/>
      </c:spPr>
      <c:txPr>
        <a:bodyPr rot="0" spcFirstLastPara="1" vertOverflow="ellipsis" vert="horz" wrap="square" anchor="ctr" anchorCtr="1"/>
        <a:lstStyle/>
        <a:p>
          <a:pPr lvl="0">
            <a:defRPr sz="900" b="0" i="0" u="none" strike="noStrike" kern="1200" baseline="0">
              <a:solidFill>
                <a:srgbClr val="1A1A1A"/>
              </a:solidFill>
              <a:latin typeface="+mn-lt"/>
              <a:ea typeface="+mn-ea"/>
              <a:cs typeface="+mn-cs"/>
            </a:defRPr>
          </a:pPr>
          <a:endParaRPr lang="en-US"/>
        </a:p>
      </c:txPr>
    </c:legend>
    <c:plotVisOnly val="1"/>
    <c:dispBlanksAs val="zero"/>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0" i="0">
                <a:solidFill>
                  <a:srgbClr val="757575"/>
                </a:solidFill>
                <a:latin typeface="+mn-lt"/>
              </a:defRPr>
            </a:pPr>
            <a:r>
              <a:rPr lang="en-IN" sz="1400" b="0" i="0">
                <a:solidFill>
                  <a:srgbClr val="757575"/>
                </a:solidFill>
                <a:latin typeface="+mn-lt"/>
              </a:rPr>
              <a:t>Area wise Total Price</a:t>
            </a:r>
          </a:p>
        </c:rich>
      </c:tx>
      <c:overlay val="0"/>
    </c:title>
    <c:autoTitleDeleted val="0"/>
    <c:plotArea>
      <c:layout>
        <c:manualLayout>
          <c:layoutTarget val="inner"/>
          <c:xMode val="edge"/>
          <c:yMode val="edge"/>
          <c:x val="0.14329604953227001"/>
          <c:y val="0.18109090909090908"/>
          <c:w val="0.46372649572649571"/>
          <c:h val="0.65764848484848482"/>
        </c:manualLayout>
      </c:layout>
      <c:doughnutChart>
        <c:varyColors val="1"/>
        <c:ser>
          <c:idx val="0"/>
          <c:order val="0"/>
          <c:tx>
            <c:strRef>
              <c:f>Sheet3!$B$481</c:f>
              <c:strCache>
                <c:ptCount val="1"/>
                <c:pt idx="0">
                  <c:v>Sum of PRICE</c:v>
                </c:pt>
              </c:strCache>
            </c:strRef>
          </c:tx>
          <c:dPt>
            <c:idx val="0"/>
            <c:bubble3D val="0"/>
            <c:spPr>
              <a:solidFill>
                <a:schemeClr val="accent1"/>
              </a:solidFill>
            </c:spPr>
            <c:extLst>
              <c:ext xmlns:c16="http://schemas.microsoft.com/office/drawing/2014/chart" uri="{C3380CC4-5D6E-409C-BE32-E72D297353CC}">
                <c16:uniqueId val="{00000001-5305-4872-9D50-9C6EE0BAF37C}"/>
              </c:ext>
            </c:extLst>
          </c:dPt>
          <c:dPt>
            <c:idx val="1"/>
            <c:bubble3D val="0"/>
            <c:spPr>
              <a:solidFill>
                <a:schemeClr val="accent2"/>
              </a:solidFill>
            </c:spPr>
            <c:extLst>
              <c:ext xmlns:c16="http://schemas.microsoft.com/office/drawing/2014/chart" uri="{C3380CC4-5D6E-409C-BE32-E72D297353CC}">
                <c16:uniqueId val="{00000003-5305-4872-9D50-9C6EE0BAF37C}"/>
              </c:ext>
            </c:extLst>
          </c:dPt>
          <c:dPt>
            <c:idx val="2"/>
            <c:bubble3D val="0"/>
            <c:spPr>
              <a:solidFill>
                <a:schemeClr val="accent3"/>
              </a:solidFill>
            </c:spPr>
            <c:extLst>
              <c:ext xmlns:c16="http://schemas.microsoft.com/office/drawing/2014/chart" uri="{C3380CC4-5D6E-409C-BE32-E72D297353CC}">
                <c16:uniqueId val="{00000005-5305-4872-9D50-9C6EE0BAF37C}"/>
              </c:ext>
            </c:extLst>
          </c:dPt>
          <c:dPt>
            <c:idx val="3"/>
            <c:bubble3D val="0"/>
            <c:spPr>
              <a:solidFill>
                <a:srgbClr val="FFC000"/>
              </a:solidFill>
            </c:spPr>
            <c:extLst>
              <c:ext xmlns:c16="http://schemas.microsoft.com/office/drawing/2014/chart" uri="{C3380CC4-5D6E-409C-BE32-E72D297353CC}">
                <c16:uniqueId val="{00000007-5305-4872-9D50-9C6EE0BAF37C}"/>
              </c:ext>
            </c:extLst>
          </c:dPt>
          <c:dLbls>
            <c:spPr>
              <a:noFill/>
              <a:ln>
                <a:noFill/>
              </a:ln>
              <a:effectLst/>
            </c:spPr>
            <c:showLegendKey val="0"/>
            <c:showVal val="1"/>
            <c:showCatName val="0"/>
            <c:showSerName val="0"/>
            <c:showPercent val="0"/>
            <c:showBubbleSize val="0"/>
            <c:showLeaderLines val="1"/>
            <c:extLst>
              <c:ext xmlns:c15="http://schemas.microsoft.com/office/drawing/2012/chart" uri="{CE6537A1-D6FC-4f65-9D91-7224C49458BB}"/>
            </c:extLst>
          </c:dLbls>
          <c:cat>
            <c:strRef>
              <c:f>Sheet3!$A$482:$A$485</c:f>
              <c:strCache>
                <c:ptCount val="4"/>
                <c:pt idx="0">
                  <c:v>Large</c:v>
                </c:pt>
                <c:pt idx="1">
                  <c:v>Medium</c:v>
                </c:pt>
                <c:pt idx="2">
                  <c:v>Small</c:v>
                </c:pt>
                <c:pt idx="3">
                  <c:v>Grand Total</c:v>
                </c:pt>
              </c:strCache>
            </c:strRef>
          </c:cat>
          <c:val>
            <c:numRef>
              <c:f>Sheet3!$B$482:$B$485</c:f>
              <c:numCache>
                <c:formatCode>General</c:formatCode>
                <c:ptCount val="4"/>
                <c:pt idx="0">
                  <c:v>500478800</c:v>
                </c:pt>
                <c:pt idx="1">
                  <c:v>757776150</c:v>
                </c:pt>
                <c:pt idx="2">
                  <c:v>99302100</c:v>
                </c:pt>
                <c:pt idx="3">
                  <c:v>1357557050</c:v>
                </c:pt>
              </c:numCache>
            </c:numRef>
          </c:val>
          <c:extLst>
            <c:ext xmlns:c16="http://schemas.microsoft.com/office/drawing/2014/chart" uri="{C3380CC4-5D6E-409C-BE32-E72D297353CC}">
              <c16:uniqueId val="{00000008-5305-4872-9D50-9C6EE0BAF37C}"/>
            </c:ext>
          </c:extLst>
        </c:ser>
        <c:dLbls>
          <c:showLegendKey val="0"/>
          <c:showVal val="0"/>
          <c:showCatName val="0"/>
          <c:showSerName val="0"/>
          <c:showPercent val="0"/>
          <c:showBubbleSize val="0"/>
          <c:showLeaderLines val="1"/>
        </c:dLbls>
        <c:firstSliceAng val="0"/>
        <c:holeSize val="75"/>
      </c:doughnutChart>
    </c:plotArea>
    <c:legend>
      <c:legendPos val="r"/>
      <c:overlay val="0"/>
      <c:txPr>
        <a:bodyPr/>
        <a:lstStyle/>
        <a:p>
          <a:pPr lvl="0">
            <a:defRPr sz="900" b="0" i="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400" b="0" i="0" u="none" strike="noStrike" kern="1200" baseline="0">
                <a:solidFill>
                  <a:srgbClr val="757575"/>
                </a:solidFill>
                <a:latin typeface="+mn-lt"/>
                <a:ea typeface="+mn-ea"/>
                <a:cs typeface="+mn-cs"/>
              </a:defRPr>
            </a:pPr>
            <a:r>
              <a:rPr lang="en-IN" sz="1400" b="0" i="0">
                <a:solidFill>
                  <a:srgbClr val="757575"/>
                </a:solidFill>
                <a:latin typeface="+mn-lt"/>
              </a:rPr>
              <a:t>Total</a:t>
            </a:r>
            <a:r>
              <a:rPr lang="en-IN" sz="1400" b="0" i="0" baseline="0">
                <a:solidFill>
                  <a:srgbClr val="757575"/>
                </a:solidFill>
                <a:latin typeface="+mn-lt"/>
              </a:rPr>
              <a:t> sqft</a:t>
            </a:r>
            <a:r>
              <a:rPr lang="en-IN" sz="1400" b="0" i="0">
                <a:solidFill>
                  <a:srgbClr val="757575"/>
                </a:solidFill>
                <a:latin typeface="+mn-lt"/>
              </a:rPr>
              <a:t> vs wise Count</a:t>
            </a:r>
          </a:p>
        </c:rich>
      </c:tx>
      <c:overlay val="0"/>
      <c:spPr>
        <a:noFill/>
        <a:ln>
          <a:noFill/>
        </a:ln>
        <a:effectLst/>
      </c:spPr>
      <c:txPr>
        <a:bodyPr rot="0" spcFirstLastPara="1" vertOverflow="ellipsis" vert="horz" wrap="square" anchor="ctr" anchorCtr="1"/>
        <a:lstStyle/>
        <a:p>
          <a:pPr lvl="0">
            <a:defRPr sz="1400" b="0" i="0" u="none" strike="noStrike" kern="1200" baseline="0">
              <a:solidFill>
                <a:srgbClr val="757575"/>
              </a:solidFill>
              <a:latin typeface="+mn-lt"/>
              <a:ea typeface="+mn-ea"/>
              <a:cs typeface="+mn-cs"/>
            </a:defRPr>
          </a:pPr>
          <a:endParaRPr lang="en-US"/>
        </a:p>
      </c:txPr>
    </c:title>
    <c:autoTitleDeleted val="0"/>
    <c:plotArea>
      <c:layout>
        <c:manualLayout>
          <c:layoutTarget val="inner"/>
          <c:xMode val="edge"/>
          <c:yMode val="edge"/>
          <c:x val="0.17692997220556275"/>
          <c:y val="0.25178357968411841"/>
          <c:w val="0.46585592034410933"/>
          <c:h val="0.66527494589492098"/>
        </c:manualLayout>
      </c:layout>
      <c:pieChart>
        <c:varyColors val="1"/>
        <c:ser>
          <c:idx val="0"/>
          <c:order val="0"/>
          <c:tx>
            <c:strRef>
              <c:f>Sheet3!$B$497</c:f>
              <c:strCache>
                <c:ptCount val="1"/>
                <c:pt idx="0">
                  <c:v>Count of property_type</c:v>
                </c:pt>
              </c:strCache>
            </c:strRef>
          </c:tx>
          <c:dPt>
            <c:idx val="0"/>
            <c:bubble3D val="0"/>
            <c:spPr>
              <a:solidFill>
                <a:schemeClr val="accent1"/>
              </a:solidFill>
              <a:ln>
                <a:noFill/>
              </a:ln>
              <a:effectLst/>
            </c:spPr>
            <c:extLst>
              <c:ext xmlns:c16="http://schemas.microsoft.com/office/drawing/2014/chart" uri="{C3380CC4-5D6E-409C-BE32-E72D297353CC}">
                <c16:uniqueId val="{00000001-BCBE-4677-8EA5-31332AE573B5}"/>
              </c:ext>
            </c:extLst>
          </c:dPt>
          <c:dPt>
            <c:idx val="1"/>
            <c:bubble3D val="0"/>
            <c:spPr>
              <a:solidFill>
                <a:schemeClr val="accent2"/>
              </a:solidFill>
              <a:ln>
                <a:noFill/>
              </a:ln>
              <a:effectLst/>
            </c:spPr>
            <c:extLst>
              <c:ext xmlns:c16="http://schemas.microsoft.com/office/drawing/2014/chart" uri="{C3380CC4-5D6E-409C-BE32-E72D297353CC}">
                <c16:uniqueId val="{00000003-BCBE-4677-8EA5-31332AE573B5}"/>
              </c:ext>
            </c:extLst>
          </c:dPt>
          <c:dPt>
            <c:idx val="2"/>
            <c:bubble3D val="0"/>
            <c:spPr>
              <a:solidFill>
                <a:schemeClr val="accent3"/>
              </a:solidFill>
              <a:ln>
                <a:noFill/>
              </a:ln>
              <a:effectLst/>
            </c:spPr>
            <c:extLst>
              <c:ext xmlns:c16="http://schemas.microsoft.com/office/drawing/2014/chart" uri="{C3380CC4-5D6E-409C-BE32-E72D297353CC}">
                <c16:uniqueId val="{00000005-BCBE-4677-8EA5-31332AE573B5}"/>
              </c:ext>
            </c:extLst>
          </c:dPt>
          <c:dPt>
            <c:idx val="3"/>
            <c:bubble3D val="0"/>
            <c:spPr>
              <a:solidFill>
                <a:schemeClr val="accent4"/>
              </a:solidFill>
              <a:ln>
                <a:noFill/>
              </a:ln>
              <a:effectLst/>
            </c:spPr>
            <c:extLst>
              <c:ext xmlns:c16="http://schemas.microsoft.com/office/drawing/2014/chart" uri="{C3380CC4-5D6E-409C-BE32-E72D297353CC}">
                <c16:uniqueId val="{00000007-BCBE-4677-8EA5-31332AE573B5}"/>
              </c:ext>
            </c:extLst>
          </c:dPt>
          <c:dPt>
            <c:idx val="4"/>
            <c:bubble3D val="0"/>
            <c:spPr>
              <a:solidFill>
                <a:schemeClr val="accent5"/>
              </a:solidFill>
              <a:ln>
                <a:noFill/>
              </a:ln>
              <a:effectLst/>
            </c:spPr>
            <c:extLst>
              <c:ext xmlns:c16="http://schemas.microsoft.com/office/drawing/2014/chart" uri="{C3380CC4-5D6E-409C-BE32-E72D297353CC}">
                <c16:uniqueId val="{00000009-BCBE-4677-8EA5-31332AE573B5}"/>
              </c:ext>
            </c:extLst>
          </c:dPt>
          <c:dPt>
            <c:idx val="5"/>
            <c:bubble3D val="0"/>
            <c:spPr>
              <a:solidFill>
                <a:schemeClr val="accent6"/>
              </a:solidFill>
              <a:ln>
                <a:noFill/>
              </a:ln>
              <a:effectLst/>
            </c:spPr>
            <c:extLst>
              <c:ext xmlns:c16="http://schemas.microsoft.com/office/drawing/2014/chart" uri="{C3380CC4-5D6E-409C-BE32-E72D297353CC}">
                <c16:uniqueId val="{0000000B-BCBE-4677-8EA5-31332AE573B5}"/>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BCBE-4677-8EA5-31332AE573B5}"/>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BCBE-4677-8EA5-31332AE573B5}"/>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BCBE-4677-8EA5-31332AE573B5}"/>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BCBE-4677-8EA5-31332AE573B5}"/>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BCBE-4677-8EA5-31332AE573B5}"/>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Sheet3!$A$498:$A$508</c:f>
              <c:strCache>
                <c:ptCount val="11"/>
                <c:pt idx="0">
                  <c:v>600</c:v>
                </c:pt>
                <c:pt idx="1">
                  <c:v>950</c:v>
                </c:pt>
                <c:pt idx="2">
                  <c:v>1000</c:v>
                </c:pt>
                <c:pt idx="3">
                  <c:v>1100</c:v>
                </c:pt>
                <c:pt idx="4">
                  <c:v>1200</c:v>
                </c:pt>
                <c:pt idx="5">
                  <c:v>1500</c:v>
                </c:pt>
                <c:pt idx="6">
                  <c:v>1559</c:v>
                </c:pt>
                <c:pt idx="7">
                  <c:v>1600</c:v>
                </c:pt>
                <c:pt idx="8">
                  <c:v>1800</c:v>
                </c:pt>
                <c:pt idx="9">
                  <c:v>2400</c:v>
                </c:pt>
                <c:pt idx="10">
                  <c:v>Grand Total</c:v>
                </c:pt>
              </c:strCache>
            </c:strRef>
          </c:cat>
          <c:val>
            <c:numRef>
              <c:f>Sheet3!$B$498:$B$508</c:f>
              <c:numCache>
                <c:formatCode>General</c:formatCode>
                <c:ptCount val="11"/>
                <c:pt idx="0">
                  <c:v>16</c:v>
                </c:pt>
                <c:pt idx="1">
                  <c:v>12</c:v>
                </c:pt>
                <c:pt idx="2">
                  <c:v>18</c:v>
                </c:pt>
                <c:pt idx="3">
                  <c:v>17</c:v>
                </c:pt>
                <c:pt idx="4">
                  <c:v>78</c:v>
                </c:pt>
                <c:pt idx="5">
                  <c:v>27</c:v>
                </c:pt>
                <c:pt idx="6">
                  <c:v>31</c:v>
                </c:pt>
                <c:pt idx="7">
                  <c:v>14</c:v>
                </c:pt>
                <c:pt idx="8">
                  <c:v>12</c:v>
                </c:pt>
                <c:pt idx="9">
                  <c:v>13</c:v>
                </c:pt>
                <c:pt idx="10">
                  <c:v>238</c:v>
                </c:pt>
              </c:numCache>
            </c:numRef>
          </c:val>
          <c:extLst>
            <c:ext xmlns:c16="http://schemas.microsoft.com/office/drawing/2014/chart" uri="{C3380CC4-5D6E-409C-BE32-E72D297353CC}">
              <c16:uniqueId val="{00000016-BCBE-4677-8EA5-31332AE573B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lvl="0">
            <a:defRPr sz="900" b="0" i="0" u="none" strike="noStrike" kern="1200" baseline="0">
              <a:solidFill>
                <a:srgbClr val="1A1A1A"/>
              </a:solidFill>
              <a:latin typeface="+mn-lt"/>
              <a:ea typeface="+mn-ea"/>
              <a:cs typeface="+mn-cs"/>
            </a:defRPr>
          </a:pPr>
          <a:endParaRPr lang="en-US"/>
        </a:p>
      </c:txPr>
    </c:legend>
    <c:plotVisOnly val="1"/>
    <c:dispBlanksAs val="zero"/>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400" b="0" i="0" u="none" strike="noStrike" kern="1200" baseline="0">
                <a:solidFill>
                  <a:srgbClr val="757575"/>
                </a:solidFill>
                <a:latin typeface="+mn-lt"/>
                <a:ea typeface="+mn-ea"/>
                <a:cs typeface="+mn-cs"/>
              </a:defRPr>
            </a:pPr>
            <a:r>
              <a:rPr lang="en-IN" sz="1400" b="0" i="0">
                <a:solidFill>
                  <a:srgbClr val="757575"/>
                </a:solidFill>
                <a:latin typeface="+mn-lt"/>
              </a:rPr>
              <a:t>Location wise House Count</a:t>
            </a:r>
          </a:p>
        </c:rich>
      </c:tx>
      <c:overlay val="0"/>
      <c:spPr>
        <a:noFill/>
        <a:ln>
          <a:noFill/>
        </a:ln>
        <a:effectLst/>
      </c:spPr>
      <c:txPr>
        <a:bodyPr rot="0" spcFirstLastPara="1" vertOverflow="ellipsis" vert="horz" wrap="square" anchor="ctr" anchorCtr="1"/>
        <a:lstStyle/>
        <a:p>
          <a:pPr lvl="0">
            <a:defRPr sz="1400" b="0" i="0" u="none" strike="noStrike" kern="1200" baseline="0">
              <a:solidFill>
                <a:srgbClr val="757575"/>
              </a:solidFill>
              <a:latin typeface="+mn-lt"/>
              <a:ea typeface="+mn-ea"/>
              <a:cs typeface="+mn-cs"/>
            </a:defRPr>
          </a:pPr>
          <a:endParaRPr lang="en-US"/>
        </a:p>
      </c:txPr>
    </c:title>
    <c:autoTitleDeleted val="0"/>
    <c:plotArea>
      <c:layout>
        <c:manualLayout>
          <c:xMode val="edge"/>
          <c:yMode val="edge"/>
          <c:x val="0.16588377311614674"/>
          <c:y val="0.26328484981044037"/>
          <c:w val="0.67537992626875842"/>
          <c:h val="0.32536636045494316"/>
        </c:manualLayout>
      </c:layout>
      <c:barChart>
        <c:barDir val="col"/>
        <c:grouping val="clustered"/>
        <c:varyColors val="1"/>
        <c:ser>
          <c:idx val="0"/>
          <c:order val="0"/>
          <c:tx>
            <c:v>Total</c:v>
          </c:tx>
          <c:invertIfNegative val="1"/>
          <c:dPt>
            <c:idx val="0"/>
            <c:invertIfNegative val="1"/>
            <c:bubble3D val="0"/>
            <c:spPr>
              <a:solidFill>
                <a:schemeClr val="accent6"/>
              </a:solidFill>
              <a:ln>
                <a:noFill/>
              </a:ln>
              <a:effectLst/>
            </c:spPr>
          </c:dPt>
          <c:dPt>
            <c:idx val="1"/>
            <c:invertIfNegative val="1"/>
            <c:bubble3D val="0"/>
            <c:spPr>
              <a:solidFill>
                <a:schemeClr val="accent5"/>
              </a:solidFill>
              <a:ln>
                <a:noFill/>
              </a:ln>
              <a:effectLst/>
            </c:spPr>
          </c:dPt>
          <c:dPt>
            <c:idx val="2"/>
            <c:invertIfNegative val="1"/>
            <c:bubble3D val="0"/>
            <c:spPr>
              <a:solidFill>
                <a:schemeClr val="accent4"/>
              </a:solidFill>
              <a:ln>
                <a:noFill/>
              </a:ln>
              <a:effectLst/>
            </c:spPr>
          </c:dPt>
          <c:dPt>
            <c:idx val="3"/>
            <c:invertIfNegative val="1"/>
            <c:bubble3D val="0"/>
            <c:spPr>
              <a:solidFill>
                <a:schemeClr val="accent6">
                  <a:lumMod val="60000"/>
                </a:schemeClr>
              </a:solidFill>
              <a:ln>
                <a:noFill/>
              </a:ln>
              <a:effectLst/>
            </c:spPr>
          </c:dPt>
          <c:dPt>
            <c:idx val="4"/>
            <c:invertIfNegative val="1"/>
            <c:bubble3D val="0"/>
            <c:spPr>
              <a:solidFill>
                <a:schemeClr val="accent5">
                  <a:lumMod val="60000"/>
                </a:schemeClr>
              </a:solidFill>
              <a:ln>
                <a:noFill/>
              </a:ln>
              <a:effectLst/>
            </c:spPr>
          </c:dPt>
          <c:dPt>
            <c:idx val="5"/>
            <c:invertIfNegative val="1"/>
            <c:bubble3D val="0"/>
            <c:spPr>
              <a:solidFill>
                <a:schemeClr val="accent4">
                  <a:lumMod val="60000"/>
                </a:schemeClr>
              </a:solidFill>
              <a:ln>
                <a:noFill/>
              </a:ln>
              <a:effectLst/>
            </c:spPr>
          </c:dPt>
          <c:dPt>
            <c:idx val="6"/>
            <c:invertIfNegative val="1"/>
            <c:bubble3D val="0"/>
            <c:spPr>
              <a:solidFill>
                <a:schemeClr val="accent6">
                  <a:lumMod val="80000"/>
                  <a:lumOff val="20000"/>
                </a:schemeClr>
              </a:solidFill>
              <a:ln>
                <a:noFill/>
              </a:ln>
              <a:effectLst/>
            </c:spPr>
          </c:dPt>
          <c:dPt>
            <c:idx val="7"/>
            <c:invertIfNegative val="1"/>
            <c:bubble3D val="0"/>
            <c:spPr>
              <a:solidFill>
                <a:schemeClr val="accent5">
                  <a:lumMod val="80000"/>
                  <a:lumOff val="20000"/>
                </a:schemeClr>
              </a:solidFill>
              <a:ln>
                <a:noFill/>
              </a:ln>
              <a:effectLst/>
            </c:spPr>
          </c:dPt>
          <c:dPt>
            <c:idx val="8"/>
            <c:invertIfNegative val="1"/>
            <c:bubble3D val="0"/>
            <c:spPr>
              <a:solidFill>
                <a:schemeClr val="accent4">
                  <a:lumMod val="80000"/>
                  <a:lumOff val="20000"/>
                </a:schemeClr>
              </a:solidFill>
              <a:ln>
                <a:noFill/>
              </a:ln>
              <a:effectLst/>
            </c:spPr>
          </c:dPt>
          <c:dPt>
            <c:idx val="9"/>
            <c:invertIfNegative val="1"/>
            <c:bubble3D val="0"/>
            <c:spPr>
              <a:solidFill>
                <a:schemeClr val="accent6">
                  <a:lumMod val="80000"/>
                </a:schemeClr>
              </a:solidFill>
              <a:ln>
                <a:noFill/>
              </a:ln>
              <a:effectLst/>
            </c:spPr>
          </c:dPt>
          <c:dPt>
            <c:idx val="10"/>
            <c:invertIfNegative val="1"/>
            <c:bubble3D val="0"/>
            <c:spPr>
              <a:solidFill>
                <a:schemeClr val="accent5">
                  <a:lumMod val="80000"/>
                </a:schemeClr>
              </a:solidFill>
              <a:ln>
                <a:noFill/>
              </a:ln>
              <a:effectLst/>
            </c:spPr>
          </c:dPt>
          <c:dPt>
            <c:idx val="11"/>
            <c:invertIfNegative val="1"/>
            <c:bubble3D val="0"/>
            <c:spPr>
              <a:solidFill>
                <a:schemeClr val="accent4">
                  <a:lumMod val="80000"/>
                </a:schemeClr>
              </a:solidFill>
              <a:ln>
                <a:noFill/>
              </a:ln>
              <a:effectLst/>
            </c:spPr>
          </c:dPt>
          <c:dPt>
            <c:idx val="12"/>
            <c:invertIfNegative val="1"/>
            <c:bubble3D val="0"/>
            <c:spPr>
              <a:solidFill>
                <a:schemeClr val="accent6">
                  <a:lumMod val="60000"/>
                  <a:lumOff val="40000"/>
                </a:schemeClr>
              </a:solidFill>
              <a:ln>
                <a:noFill/>
              </a:ln>
              <a:effectLst/>
            </c:spPr>
          </c:dPt>
          <c:dLbls>
            <c:spPr>
              <a:noFill/>
              <a:ln>
                <a:noFill/>
              </a:ln>
              <a:effectLst/>
            </c:spPr>
            <c:txPr>
              <a:bodyPr rot="0" spcFirstLastPara="1" vertOverflow="ellipsis" vert="horz" wrap="square" anchor="ctr" anchorCtr="1"/>
              <a:lstStyle/>
              <a:p>
                <a:pPr lvl="0">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Sheet3!$A$1087:$A$1099</c:f>
              <c:strCache>
                <c:ptCount val="13"/>
                <c:pt idx="0">
                  <c:v>7th Phase JP Nagar</c:v>
                </c:pt>
                <c:pt idx="1">
                  <c:v>Electronic City</c:v>
                </c:pt>
                <c:pt idx="2">
                  <c:v>Haralur Road</c:v>
                </c:pt>
                <c:pt idx="3">
                  <c:v>Hebbal</c:v>
                </c:pt>
                <c:pt idx="4">
                  <c:v>Kanakpura Road</c:v>
                </c:pt>
                <c:pt idx="5">
                  <c:v>Marathahalli</c:v>
                </c:pt>
                <c:pt idx="6">
                  <c:v>Raja Rajeshwari Nagar</c:v>
                </c:pt>
                <c:pt idx="7">
                  <c:v>Sarjapur  Road</c:v>
                </c:pt>
                <c:pt idx="8">
                  <c:v>Thanisandra</c:v>
                </c:pt>
                <c:pt idx="9">
                  <c:v>Uttarahalli</c:v>
                </c:pt>
                <c:pt idx="10">
                  <c:v>Whitefield</c:v>
                </c:pt>
                <c:pt idx="11">
                  <c:v>Yelahanka</c:v>
                </c:pt>
                <c:pt idx="12">
                  <c:v>Grand Total</c:v>
                </c:pt>
              </c:strCache>
            </c:strRef>
          </c:cat>
          <c:val>
            <c:numRef>
              <c:f>Sheet3!$B$1087:$B$1099</c:f>
              <c:numCache>
                <c:formatCode>General</c:formatCode>
                <c:ptCount val="13"/>
                <c:pt idx="0">
                  <c:v>22</c:v>
                </c:pt>
                <c:pt idx="1">
                  <c:v>37</c:v>
                </c:pt>
                <c:pt idx="2">
                  <c:v>18</c:v>
                </c:pt>
                <c:pt idx="3">
                  <c:v>17</c:v>
                </c:pt>
                <c:pt idx="4">
                  <c:v>27</c:v>
                </c:pt>
                <c:pt idx="5">
                  <c:v>22</c:v>
                </c:pt>
                <c:pt idx="6">
                  <c:v>17</c:v>
                </c:pt>
                <c:pt idx="7">
                  <c:v>28</c:v>
                </c:pt>
                <c:pt idx="8">
                  <c:v>25</c:v>
                </c:pt>
                <c:pt idx="9">
                  <c:v>17</c:v>
                </c:pt>
                <c:pt idx="10">
                  <c:v>48</c:v>
                </c:pt>
                <c:pt idx="11">
                  <c:v>21</c:v>
                </c:pt>
                <c:pt idx="12">
                  <c:v>299</c:v>
                </c:pt>
              </c:numCache>
            </c:numRef>
          </c:val>
          <c:extLst>
            <c:ext xmlns:c16="http://schemas.microsoft.com/office/drawing/2014/chart" uri="{C3380CC4-5D6E-409C-BE32-E72D297353CC}">
              <c16:uniqueId val="{00000000-CDD1-4A0C-ACE8-9A596CB846E7}"/>
            </c:ext>
          </c:extLst>
        </c:ser>
        <c:dLbls>
          <c:showLegendKey val="0"/>
          <c:showVal val="0"/>
          <c:showCatName val="0"/>
          <c:showSerName val="0"/>
          <c:showPercent val="0"/>
          <c:showBubbleSize val="0"/>
        </c:dLbls>
        <c:gapWidth val="150"/>
        <c:axId val="1479271751"/>
        <c:axId val="1821623697"/>
      </c:barChart>
      <c:catAx>
        <c:axId val="1479271751"/>
        <c:scaling>
          <c:orientation val="minMax"/>
        </c:scaling>
        <c:delete val="0"/>
        <c:axPos val="b"/>
        <c:title>
          <c:tx>
            <c:rich>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n-US"/>
          </a:p>
        </c:txPr>
        <c:crossAx val="1821623697"/>
        <c:crosses val="autoZero"/>
        <c:auto val="1"/>
        <c:lblAlgn val="ctr"/>
        <c:lblOffset val="100"/>
        <c:noMultiLvlLbl val="1"/>
      </c:catAx>
      <c:valAx>
        <c:axId val="1821623697"/>
        <c:scaling>
          <c:orientation val="minMax"/>
        </c:scaling>
        <c:delete val="0"/>
        <c:axPos val="l"/>
        <c:majorGridlines>
          <c:spPr>
            <a:ln w="6350" cap="flat" cmpd="sng" algn="ctr">
              <a:solidFill>
                <a:srgbClr val="B7B7B7"/>
              </a:solidFill>
              <a:prstDash val="solid"/>
              <a:round/>
            </a:ln>
            <a:effectLst/>
          </c:spPr>
        </c:majorGridlines>
        <c:title>
          <c:tx>
            <c:rich>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IN"/>
              </a:p>
            </c:rich>
          </c:tx>
          <c:overlay val="0"/>
          <c:spPr>
            <a:noFill/>
            <a:ln>
              <a:noFill/>
            </a:ln>
            <a:effectLst/>
          </c:spPr>
          <c:txPr>
            <a:bodyPr rot="-5400000" spcFirstLastPara="1" vertOverflow="ellipsis" vert="horz" wrap="square" anchor="ctr" anchorCtr="1"/>
            <a:lstStyle/>
            <a:p>
              <a:pPr lvl="0">
                <a:defRPr sz="1000" b="0" i="0" u="none" strike="noStrike" kern="1200" baseline="0">
                  <a:solidFill>
                    <a:srgbClr val="000000"/>
                  </a:solidFill>
                  <a:latin typeface="+mn-lt"/>
                  <a:ea typeface="+mn-ea"/>
                  <a:cs typeface="+mn-cs"/>
                </a:defRPr>
              </a:pPr>
              <a:endParaRPr lang="en-US"/>
            </a:p>
          </c:txPr>
        </c:title>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lvl="0">
              <a:defRPr sz="900" b="0" i="0" u="none" strike="noStrike" kern="1200" baseline="0">
                <a:solidFill>
                  <a:srgbClr val="000000"/>
                </a:solidFill>
                <a:latin typeface="+mn-lt"/>
                <a:ea typeface="+mn-ea"/>
                <a:cs typeface="+mn-cs"/>
              </a:defRPr>
            </a:pPr>
            <a:endParaRPr lang="en-US"/>
          </a:p>
        </c:txPr>
        <c:crossAx val="1479271751"/>
        <c:crosses val="autoZero"/>
        <c:crossBetween val="between"/>
      </c:valAx>
      <c:spPr>
        <a:solidFill>
          <a:schemeClr val="bg1"/>
        </a:solidFill>
        <a:ln>
          <a:noFill/>
        </a:ln>
        <a:effectLst/>
      </c:spPr>
    </c:plotArea>
    <c:legend>
      <c:legendPos val="r"/>
      <c:layout>
        <c:manualLayout>
          <c:xMode val="edge"/>
          <c:yMode val="edge"/>
          <c:x val="0.66461043915902263"/>
          <c:y val="0.62476916701201823"/>
          <c:w val="0.32003904684328249"/>
          <c:h val="0.30760786480637287"/>
        </c:manualLayout>
      </c:layout>
      <c:overlay val="0"/>
      <c:spPr>
        <a:noFill/>
        <a:ln>
          <a:noFill/>
        </a:ln>
        <a:effectLst/>
      </c:spPr>
      <c:txPr>
        <a:bodyPr rot="0" spcFirstLastPara="1" vertOverflow="ellipsis" vert="horz" wrap="square" anchor="ctr" anchorCtr="1"/>
        <a:lstStyle/>
        <a:p>
          <a:pPr lvl="0">
            <a:defRPr sz="900" b="0" i="0" u="none" strike="noStrike" kern="1200" baseline="0">
              <a:solidFill>
                <a:srgbClr val="1A1A1A"/>
              </a:solidFill>
              <a:latin typeface="+mn-lt"/>
              <a:ea typeface="+mn-ea"/>
              <a:cs typeface="+mn-cs"/>
            </a:defRPr>
          </a:pPr>
          <a:endParaRPr lang="en-US"/>
        </a:p>
      </c:txPr>
    </c:legend>
    <c:plotVisOnly val="1"/>
    <c:dispBlanksAs val="zero"/>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[bengaluru_house_prices-AJ25(AutoRecovered) (1) (1).xlsx]Sheet1!PivotTable1</c:name>
    <c:fmtId val="1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Size vs Average Price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Sheet1!$J$120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Sheet1!$I$121:$I$132</c:f>
              <c:strCache>
                <c:ptCount val="11"/>
                <c:pt idx="1">
                  <c:v>1 </c:v>
                </c:pt>
                <c:pt idx="2">
                  <c:v>11</c:v>
                </c:pt>
                <c:pt idx="3">
                  <c:v>2 </c:v>
                </c:pt>
                <c:pt idx="4">
                  <c:v>3 </c:v>
                </c:pt>
                <c:pt idx="5">
                  <c:v>4 </c:v>
                </c:pt>
                <c:pt idx="6">
                  <c:v>5 </c:v>
                </c:pt>
                <c:pt idx="7">
                  <c:v>6 </c:v>
                </c:pt>
                <c:pt idx="8">
                  <c:v>7 </c:v>
                </c:pt>
                <c:pt idx="9">
                  <c:v>8 </c:v>
                </c:pt>
                <c:pt idx="10">
                  <c:v>9 </c:v>
                </c:pt>
              </c:strCache>
            </c:strRef>
          </c:cat>
          <c:val>
            <c:numRef>
              <c:f>Sheet1!$J$121:$J$132</c:f>
              <c:numCache>
                <c:formatCode>0.00%</c:formatCode>
                <c:ptCount val="11"/>
                <c:pt idx="0">
                  <c:v>0.31602484035569628</c:v>
                </c:pt>
                <c:pt idx="1">
                  <c:v>0.33434943586608712</c:v>
                </c:pt>
                <c:pt idx="2">
                  <c:v>3.3280369322232168</c:v>
                </c:pt>
                <c:pt idx="3">
                  <c:v>0.54043648576269865</c:v>
                </c:pt>
                <c:pt idx="4">
                  <c:v>0.97168546152480062</c:v>
                </c:pt>
                <c:pt idx="5">
                  <c:v>2.4649078699503737</c:v>
                </c:pt>
                <c:pt idx="6">
                  <c:v>1.9283826901632106</c:v>
                </c:pt>
                <c:pt idx="7">
                  <c:v>1.9427244396537584</c:v>
                </c:pt>
                <c:pt idx="8">
                  <c:v>4.9920553983348253</c:v>
                </c:pt>
                <c:pt idx="9">
                  <c:v>1.5595550846279351</c:v>
                </c:pt>
                <c:pt idx="10">
                  <c:v>2.3111367584883449</c:v>
                </c:pt>
              </c:numCache>
            </c:numRef>
          </c:val>
          <c:extLst>
            <c:ext xmlns:c16="http://schemas.microsoft.com/office/drawing/2014/chart" uri="{C3380CC4-5D6E-409C-BE32-E72D297353CC}">
              <c16:uniqueId val="{00000000-ECAB-44D4-96C5-8CECA808EA10}"/>
            </c:ext>
          </c:extLst>
        </c:ser>
        <c:dLbls>
          <c:showLegendKey val="0"/>
          <c:showVal val="0"/>
          <c:showCatName val="0"/>
          <c:showSerName val="0"/>
          <c:showPercent val="0"/>
          <c:showBubbleSize val="0"/>
        </c:dLbls>
        <c:gapWidth val="164"/>
        <c:overlap val="-22"/>
        <c:axId val="2139000096"/>
        <c:axId val="2139001536"/>
      </c:barChart>
      <c:catAx>
        <c:axId val="21390000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001536"/>
        <c:crosses val="autoZero"/>
        <c:auto val="1"/>
        <c:lblAlgn val="ctr"/>
        <c:lblOffset val="100"/>
        <c:noMultiLvlLbl val="0"/>
      </c:catAx>
      <c:valAx>
        <c:axId val="213900153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00009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19.xml"/><Relationship Id="rId5" Type="http://schemas.openxmlformats.org/officeDocument/2006/relationships/chart" Target="../charts/chart15.xml"/><Relationship Id="rId10" Type="http://schemas.openxmlformats.org/officeDocument/2006/relationships/chart" Target="../charts/chart18.xml"/><Relationship Id="rId4" Type="http://schemas.openxmlformats.org/officeDocument/2006/relationships/chart" Target="../charts/chart14.xml"/><Relationship Id="rId9"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chart" Target="../charts/chart22.xml"/><Relationship Id="rId7" Type="http://schemas.openxmlformats.org/officeDocument/2006/relationships/chart" Target="../charts/chart24.xml"/><Relationship Id="rId2" Type="http://schemas.openxmlformats.org/officeDocument/2006/relationships/chart" Target="../charts/chart21.xml"/><Relationship Id="rId1" Type="http://schemas.openxmlformats.org/officeDocument/2006/relationships/chart" Target="../charts/chart20.xml"/><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oneCellAnchor>
    <xdr:from>
      <xdr:col>0</xdr:col>
      <xdr:colOff>95250</xdr:colOff>
      <xdr:row>10</xdr:row>
      <xdr:rowOff>180975</xdr:rowOff>
    </xdr:from>
    <xdr:ext cx="3562350" cy="2571750"/>
    <xdr:graphicFrame macro="">
      <xdr:nvGraphicFramePr>
        <xdr:cNvPr id="951192679" name="Chart 1">
          <a:extLst>
            <a:ext uri="{FF2B5EF4-FFF2-40B4-BE49-F238E27FC236}">
              <a16:creationId xmlns:a16="http://schemas.microsoft.com/office/drawing/2014/main" id="{00000000-0008-0000-0000-0000670CB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571500</xdr:colOff>
      <xdr:row>11</xdr:row>
      <xdr:rowOff>9525</xdr:rowOff>
    </xdr:from>
    <xdr:ext cx="4533900" cy="2505075"/>
    <xdr:graphicFrame macro="">
      <xdr:nvGraphicFramePr>
        <xdr:cNvPr id="1037444824" name="Chart 2">
          <a:extLst>
            <a:ext uri="{FF2B5EF4-FFF2-40B4-BE49-F238E27FC236}">
              <a16:creationId xmlns:a16="http://schemas.microsoft.com/office/drawing/2014/main" id="{00000000-0008-0000-0000-0000D826D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13</xdr:col>
      <xdr:colOff>323850</xdr:colOff>
      <xdr:row>9</xdr:row>
      <xdr:rowOff>114300</xdr:rowOff>
    </xdr:from>
    <xdr:ext cx="4505325" cy="2895600"/>
    <xdr:graphicFrame macro="">
      <xdr:nvGraphicFramePr>
        <xdr:cNvPr id="614896568" name="Chart 3">
          <a:extLst>
            <a:ext uri="{FF2B5EF4-FFF2-40B4-BE49-F238E27FC236}">
              <a16:creationId xmlns:a16="http://schemas.microsoft.com/office/drawing/2014/main" id="{00000000-0008-0000-0000-0000B893A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13</xdr:col>
      <xdr:colOff>228600</xdr:colOff>
      <xdr:row>25</xdr:row>
      <xdr:rowOff>9525</xdr:rowOff>
    </xdr:from>
    <xdr:ext cx="3743325" cy="2657475"/>
    <xdr:graphicFrame macro="">
      <xdr:nvGraphicFramePr>
        <xdr:cNvPr id="1884841889" name="Chart 4" title="Chart">
          <a:extLst>
            <a:ext uri="{FF2B5EF4-FFF2-40B4-BE49-F238E27FC236}">
              <a16:creationId xmlns:a16="http://schemas.microsoft.com/office/drawing/2014/main" id="{00000000-0008-0000-0000-0000A16758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13</xdr:col>
      <xdr:colOff>542925</xdr:colOff>
      <xdr:row>6</xdr:row>
      <xdr:rowOff>152400</xdr:rowOff>
    </xdr:from>
    <xdr:ext cx="4219575" cy="733425"/>
    <xdr:sp macro="" textlink="">
      <xdr:nvSpPr>
        <xdr:cNvPr id="3" name="Shape 3">
          <a:extLst>
            <a:ext uri="{FF2B5EF4-FFF2-40B4-BE49-F238E27FC236}">
              <a16:creationId xmlns:a16="http://schemas.microsoft.com/office/drawing/2014/main" id="{00000000-0008-0000-0000-000003000000}"/>
            </a:ext>
          </a:extLst>
        </xdr:cNvPr>
        <xdr:cNvSpPr/>
      </xdr:nvSpPr>
      <xdr:spPr>
        <a:xfrm>
          <a:off x="3240975" y="3418050"/>
          <a:ext cx="4210050" cy="723900"/>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SzPts val="4000"/>
            <a:buFont typeface="Arial"/>
            <a:buNone/>
          </a:pPr>
          <a:endParaRPr sz="4000" b="1" cap="none">
            <a:solidFill>
              <a:schemeClr val="accent4"/>
            </a:solidFill>
          </a:endParaRPr>
        </a:p>
      </xdr:txBody>
    </xdr:sp>
    <xdr:clientData fLocksWithSheet="0"/>
  </xdr:oneCellAnchor>
  <xdr:oneCellAnchor>
    <xdr:from>
      <xdr:col>8</xdr:col>
      <xdr:colOff>371475</xdr:colOff>
      <xdr:row>1</xdr:row>
      <xdr:rowOff>0</xdr:rowOff>
    </xdr:from>
    <xdr:ext cx="3571875" cy="933450"/>
    <xdr:sp macro="" textlink="">
      <xdr:nvSpPr>
        <xdr:cNvPr id="4" name="Shape 4">
          <a:extLst>
            <a:ext uri="{FF2B5EF4-FFF2-40B4-BE49-F238E27FC236}">
              <a16:creationId xmlns:a16="http://schemas.microsoft.com/office/drawing/2014/main" id="{00000000-0008-0000-0000-000004000000}"/>
            </a:ext>
          </a:extLst>
        </xdr:cNvPr>
        <xdr:cNvSpPr txBox="1"/>
      </xdr:nvSpPr>
      <xdr:spPr>
        <a:xfrm flipH="1">
          <a:off x="3564825" y="3318038"/>
          <a:ext cx="3562350" cy="92392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2400"/>
            <a:buFont typeface="Calibri"/>
            <a:buNone/>
          </a:pPr>
          <a:r>
            <a:rPr lang="en-US" sz="2400" b="1">
              <a:solidFill>
                <a:schemeClr val="dk1"/>
              </a:solidFill>
              <a:latin typeface="Calibri"/>
              <a:ea typeface="Calibri"/>
              <a:cs typeface="Calibri"/>
              <a:sym typeface="Calibri"/>
            </a:rPr>
            <a:t>BENGALURU HOUSE PRICE</a:t>
          </a:r>
          <a:endParaRPr sz="1400"/>
        </a:p>
        <a:p>
          <a:pPr marL="0" lvl="0" indent="0" algn="l" rtl="0">
            <a:spcBef>
              <a:spcPts val="0"/>
            </a:spcBef>
            <a:spcAft>
              <a:spcPts val="0"/>
            </a:spcAft>
            <a:buClr>
              <a:schemeClr val="dk1"/>
            </a:buClr>
            <a:buSzPts val="2400"/>
            <a:buFont typeface="Calibri"/>
            <a:buNone/>
          </a:pPr>
          <a:r>
            <a:rPr lang="en-US" sz="2400" b="1">
              <a:solidFill>
                <a:schemeClr val="dk1"/>
              </a:solidFill>
              <a:latin typeface="Calibri"/>
              <a:ea typeface="Calibri"/>
              <a:cs typeface="Calibri"/>
              <a:sym typeface="Calibri"/>
            </a:rPr>
            <a:t>                ANALYSIS</a:t>
          </a:r>
          <a:endParaRPr sz="1400"/>
        </a:p>
      </xdr:txBody>
    </xdr:sp>
    <xdr:clientData fLocksWithSheet="0"/>
  </xdr:oneCellAnchor>
  <xdr:oneCellAnchor>
    <xdr:from>
      <xdr:col>0</xdr:col>
      <xdr:colOff>85725</xdr:colOff>
      <xdr:row>28</xdr:row>
      <xdr:rowOff>123825</xdr:rowOff>
    </xdr:from>
    <xdr:ext cx="2095500" cy="285750"/>
    <xdr:sp macro="" textlink="">
      <xdr:nvSpPr>
        <xdr:cNvPr id="5" name="Shape 5">
          <a:extLst>
            <a:ext uri="{FF2B5EF4-FFF2-40B4-BE49-F238E27FC236}">
              <a16:creationId xmlns:a16="http://schemas.microsoft.com/office/drawing/2014/main" id="{00000000-0008-0000-0000-000005000000}"/>
            </a:ext>
          </a:extLst>
        </xdr:cNvPr>
        <xdr:cNvSpPr txBox="1"/>
      </xdr:nvSpPr>
      <xdr:spPr>
        <a:xfrm>
          <a:off x="4298250" y="3641888"/>
          <a:ext cx="2095500" cy="276225"/>
        </a:xfrm>
        <a:prstGeom prst="rect">
          <a:avLst/>
        </a:prstGeom>
        <a:solidFill>
          <a:srgbClr val="FFFFFF"/>
        </a:solidFill>
        <a:ln w="9525" cap="flat" cmpd="sng">
          <a:solidFill>
            <a:srgbClr val="000000"/>
          </a:solidFill>
          <a:prstDash val="solid"/>
          <a:miter lim="800000"/>
          <a:headEnd type="none" w="sm" len="sm"/>
          <a:tailEnd type="none" w="sm" len="sm"/>
        </a:ln>
      </xdr:spPr>
      <xdr:txBody>
        <a:bodyPr spcFirstLastPara="1" wrap="square" lIns="36575" tIns="32000" rIns="0" bIns="0" anchor="t" anchorCtr="0">
          <a:noAutofit/>
        </a:bodyPr>
        <a:lstStyle/>
        <a:p>
          <a:pPr marL="0" lvl="0" indent="0" algn="l" rtl="0">
            <a:spcBef>
              <a:spcPts val="0"/>
            </a:spcBef>
            <a:spcAft>
              <a:spcPts val="0"/>
            </a:spcAft>
            <a:buNone/>
          </a:pPr>
          <a:r>
            <a:rPr lang="en-US" sz="1100" b="0" i="0" u="none" strike="noStrike">
              <a:solidFill>
                <a:srgbClr val="000000"/>
              </a:solidFill>
              <a:latin typeface="Calibri"/>
              <a:ea typeface="Calibri"/>
              <a:cs typeface="Calibri"/>
              <a:sym typeface="Calibri"/>
            </a:rPr>
            <a:t> Count of Properties by Price Category</a:t>
          </a:r>
          <a:endParaRPr sz="1400"/>
        </a:p>
        <a:p>
          <a:pPr marL="0" lvl="0" indent="0" algn="l" rtl="0">
            <a:spcBef>
              <a:spcPts val="0"/>
            </a:spcBef>
            <a:spcAft>
              <a:spcPts val="0"/>
            </a:spcAft>
            <a:buNone/>
          </a:pPr>
          <a:endParaRPr sz="1100" b="0" i="0" u="none" strike="noStrike">
            <a:solidFill>
              <a:srgbClr val="000000"/>
            </a:solidFill>
            <a:latin typeface="Calibri"/>
            <a:ea typeface="Calibri"/>
            <a:cs typeface="Calibri"/>
            <a:sym typeface="Calibri"/>
          </a:endParaRPr>
        </a:p>
      </xdr:txBody>
    </xdr:sp>
    <xdr:clientData fLocksWithSheet="0"/>
  </xdr:oneCellAnchor>
  <xdr:oneCellAnchor>
    <xdr:from>
      <xdr:col>6</xdr:col>
      <xdr:colOff>323850</xdr:colOff>
      <xdr:row>24</xdr:row>
      <xdr:rowOff>57150</xdr:rowOff>
    </xdr:from>
    <xdr:ext cx="4010025" cy="3124200"/>
    <xdr:pic>
      <xdr:nvPicPr>
        <xdr:cNvPr id="2" name="image1.png" title="Chart">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66675</xdr:colOff>
      <xdr:row>28</xdr:row>
      <xdr:rowOff>66675</xdr:rowOff>
    </xdr:from>
    <xdr:ext cx="3724275" cy="2324100"/>
    <xdr:pic>
      <xdr:nvPicPr>
        <xdr:cNvPr id="6" name="image2.png" title="Chart">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2</xdr:col>
      <xdr:colOff>504825</xdr:colOff>
      <xdr:row>9</xdr:row>
      <xdr:rowOff>38100</xdr:rowOff>
    </xdr:from>
    <xdr:ext cx="4229100" cy="2438400"/>
    <xdr:graphicFrame macro="">
      <xdr:nvGraphicFramePr>
        <xdr:cNvPr id="760136221" name="Chart 5">
          <a:extLst>
            <a:ext uri="{FF2B5EF4-FFF2-40B4-BE49-F238E27FC236}">
              <a16:creationId xmlns:a16="http://schemas.microsoft.com/office/drawing/2014/main" id="{00000000-0008-0000-0100-00001DC24E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361950</xdr:colOff>
      <xdr:row>457</xdr:row>
      <xdr:rowOff>47625</xdr:rowOff>
    </xdr:from>
    <xdr:ext cx="3886200" cy="2714625"/>
    <xdr:graphicFrame macro="">
      <xdr:nvGraphicFramePr>
        <xdr:cNvPr id="921452577" name="Chart 6">
          <a:extLst>
            <a:ext uri="{FF2B5EF4-FFF2-40B4-BE49-F238E27FC236}">
              <a16:creationId xmlns:a16="http://schemas.microsoft.com/office/drawing/2014/main" id="{00000000-0008-0000-0100-00002140E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xdr:col>
      <xdr:colOff>200025</xdr:colOff>
      <xdr:row>474</xdr:row>
      <xdr:rowOff>47625</xdr:rowOff>
    </xdr:from>
    <xdr:ext cx="3886200" cy="2714625"/>
    <xdr:graphicFrame macro="">
      <xdr:nvGraphicFramePr>
        <xdr:cNvPr id="220397029" name="Chart 7">
          <a:extLst>
            <a:ext uri="{FF2B5EF4-FFF2-40B4-BE49-F238E27FC236}">
              <a16:creationId xmlns:a16="http://schemas.microsoft.com/office/drawing/2014/main" id="{00000000-0008-0000-0100-0000E5FD2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438150</xdr:colOff>
      <xdr:row>491</xdr:row>
      <xdr:rowOff>171450</xdr:rowOff>
    </xdr:from>
    <xdr:ext cx="3886200" cy="2714625"/>
    <xdr:graphicFrame macro="">
      <xdr:nvGraphicFramePr>
        <xdr:cNvPr id="1395614379" name="Chart 8">
          <a:extLst>
            <a:ext uri="{FF2B5EF4-FFF2-40B4-BE49-F238E27FC236}">
              <a16:creationId xmlns:a16="http://schemas.microsoft.com/office/drawing/2014/main" id="{00000000-0008-0000-0100-0000AB622F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xdr:col>
      <xdr:colOff>628650</xdr:colOff>
      <xdr:row>1087</xdr:row>
      <xdr:rowOff>171450</xdr:rowOff>
    </xdr:from>
    <xdr:ext cx="3886200" cy="2714625"/>
    <xdr:graphicFrame macro="">
      <xdr:nvGraphicFramePr>
        <xdr:cNvPr id="1594205632" name="Chart 9">
          <a:extLst>
            <a:ext uri="{FF2B5EF4-FFF2-40B4-BE49-F238E27FC236}">
              <a16:creationId xmlns:a16="http://schemas.microsoft.com/office/drawing/2014/main" id="{00000000-0008-0000-0100-0000C0A505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0</xdr:col>
      <xdr:colOff>428625</xdr:colOff>
      <xdr:row>1050</xdr:row>
      <xdr:rowOff>161925</xdr:rowOff>
    </xdr:from>
    <xdr:ext cx="5305425" cy="2714625"/>
    <xdr:graphicFrame macro="">
      <xdr:nvGraphicFramePr>
        <xdr:cNvPr id="1664479349" name="Chart 10">
          <a:extLst>
            <a:ext uri="{FF2B5EF4-FFF2-40B4-BE49-F238E27FC236}">
              <a16:creationId xmlns:a16="http://schemas.microsoft.com/office/drawing/2014/main" id="{00000000-0008-0000-0100-000075F03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12</xdr:col>
      <xdr:colOff>57150</xdr:colOff>
      <xdr:row>1</xdr:row>
      <xdr:rowOff>57150</xdr:rowOff>
    </xdr:from>
    <xdr:ext cx="4381500" cy="2552700"/>
    <xdr:graphicFrame macro="">
      <xdr:nvGraphicFramePr>
        <xdr:cNvPr id="1222704212" name="Chart 11">
          <a:extLst>
            <a:ext uri="{FF2B5EF4-FFF2-40B4-BE49-F238E27FC236}">
              <a16:creationId xmlns:a16="http://schemas.microsoft.com/office/drawing/2014/main" id="{00000000-0008-0000-0200-000054FCE0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95250</xdr:colOff>
      <xdr:row>14</xdr:row>
      <xdr:rowOff>66675</xdr:rowOff>
    </xdr:from>
    <xdr:ext cx="4495800" cy="2876550"/>
    <xdr:graphicFrame macro="">
      <xdr:nvGraphicFramePr>
        <xdr:cNvPr id="894946803" name="Chart 12">
          <a:extLst>
            <a:ext uri="{FF2B5EF4-FFF2-40B4-BE49-F238E27FC236}">
              <a16:creationId xmlns:a16="http://schemas.microsoft.com/office/drawing/2014/main" id="{00000000-0008-0000-0200-0000F3CD5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5</xdr:col>
      <xdr:colOff>142875</xdr:colOff>
      <xdr:row>46</xdr:row>
      <xdr:rowOff>161925</xdr:rowOff>
    </xdr:from>
    <xdr:ext cx="5524500" cy="3362325"/>
    <xdr:graphicFrame macro="">
      <xdr:nvGraphicFramePr>
        <xdr:cNvPr id="1533439330" name="Chart 13">
          <a:extLst>
            <a:ext uri="{FF2B5EF4-FFF2-40B4-BE49-F238E27FC236}">
              <a16:creationId xmlns:a16="http://schemas.microsoft.com/office/drawing/2014/main" id="{00000000-0008-0000-0200-0000626D66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190500</xdr:colOff>
      <xdr:row>485</xdr:row>
      <xdr:rowOff>114300</xdr:rowOff>
    </xdr:from>
    <xdr:ext cx="3895725" cy="2600325"/>
    <xdr:graphicFrame macro="">
      <xdr:nvGraphicFramePr>
        <xdr:cNvPr id="400452536" name="Chart 14">
          <a:extLst>
            <a:ext uri="{FF2B5EF4-FFF2-40B4-BE49-F238E27FC236}">
              <a16:creationId xmlns:a16="http://schemas.microsoft.com/office/drawing/2014/main" id="{00000000-0008-0000-0200-0000B86BDE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5</xdr:col>
      <xdr:colOff>57150</xdr:colOff>
      <xdr:row>965</xdr:row>
      <xdr:rowOff>76200</xdr:rowOff>
    </xdr:from>
    <xdr:ext cx="4676775" cy="2609850"/>
    <xdr:graphicFrame macro="">
      <xdr:nvGraphicFramePr>
        <xdr:cNvPr id="534116344" name="Chart 15">
          <a:extLst>
            <a:ext uri="{FF2B5EF4-FFF2-40B4-BE49-F238E27FC236}">
              <a16:creationId xmlns:a16="http://schemas.microsoft.com/office/drawing/2014/main" id="{00000000-0008-0000-0200-0000F8F7D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11</xdr:col>
      <xdr:colOff>38100</xdr:colOff>
      <xdr:row>982</xdr:row>
      <xdr:rowOff>133350</xdr:rowOff>
    </xdr:from>
    <xdr:ext cx="5715000" cy="3143250"/>
    <xdr:graphicFrame macro="">
      <xdr:nvGraphicFramePr>
        <xdr:cNvPr id="393077855" name="Chart 16">
          <a:extLst>
            <a:ext uri="{FF2B5EF4-FFF2-40B4-BE49-F238E27FC236}">
              <a16:creationId xmlns:a16="http://schemas.microsoft.com/office/drawing/2014/main" id="{00000000-0008-0000-0200-00005FE46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5</xdr:col>
      <xdr:colOff>333375</xdr:colOff>
      <xdr:row>505</xdr:row>
      <xdr:rowOff>19050</xdr:rowOff>
    </xdr:from>
    <xdr:ext cx="5124450" cy="2876550"/>
    <xdr:graphicFrame macro="">
      <xdr:nvGraphicFramePr>
        <xdr:cNvPr id="2103162998" name="Chart 17">
          <a:extLst>
            <a:ext uri="{FF2B5EF4-FFF2-40B4-BE49-F238E27FC236}">
              <a16:creationId xmlns:a16="http://schemas.microsoft.com/office/drawing/2014/main" id="{00000000-0008-0000-0200-000076B85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3</xdr:col>
      <xdr:colOff>66675</xdr:colOff>
      <xdr:row>272</xdr:row>
      <xdr:rowOff>152400</xdr:rowOff>
    </xdr:from>
    <xdr:ext cx="4486275" cy="2886075"/>
    <xdr:pic>
      <xdr:nvPicPr>
        <xdr:cNvPr id="2" name="image4.png" title="Chart">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11</xdr:col>
      <xdr:colOff>409575</xdr:colOff>
      <xdr:row>275</xdr:row>
      <xdr:rowOff>123825</xdr:rowOff>
    </xdr:from>
    <xdr:ext cx="4657725" cy="2324100"/>
    <xdr:pic>
      <xdr:nvPicPr>
        <xdr:cNvPr id="3" name="image3.png" title="Chart">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0</xdr:col>
      <xdr:colOff>0</xdr:colOff>
      <xdr:row>0</xdr:row>
      <xdr:rowOff>0</xdr:rowOff>
    </xdr:from>
    <xdr:ext cx="4486275" cy="2886075"/>
    <xdr:pic>
      <xdr:nvPicPr>
        <xdr:cNvPr id="4" name="image4.png" title="Chart">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0</xdr:col>
      <xdr:colOff>152400</xdr:colOff>
      <xdr:row>0</xdr:row>
      <xdr:rowOff>152400</xdr:rowOff>
    </xdr:from>
    <xdr:ext cx="4486275" cy="2886075"/>
    <xdr:pic>
      <xdr:nvPicPr>
        <xdr:cNvPr id="5" name="image4.png" title="Chart">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twoCellAnchor>
    <xdr:from>
      <xdr:col>11</xdr:col>
      <xdr:colOff>247650</xdr:colOff>
      <xdr:row>113</xdr:row>
      <xdr:rowOff>104775</xdr:rowOff>
    </xdr:from>
    <xdr:to>
      <xdr:col>21</xdr:col>
      <xdr:colOff>19050</xdr:colOff>
      <xdr:row>129</xdr:row>
      <xdr:rowOff>161925</xdr:rowOff>
    </xdr:to>
    <xdr:graphicFrame macro="">
      <xdr:nvGraphicFramePr>
        <xdr:cNvPr id="6" name="Chart 5">
          <a:extLst>
            <a:ext uri="{FF2B5EF4-FFF2-40B4-BE49-F238E27FC236}">
              <a16:creationId xmlns:a16="http://schemas.microsoft.com/office/drawing/2014/main" id="{6CE4B850-141D-379F-1938-F9808AFC87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oneCellAnchor>
    <xdr:from>
      <xdr:col>3</xdr:col>
      <xdr:colOff>523875</xdr:colOff>
      <xdr:row>102</xdr:row>
      <xdr:rowOff>66675</xdr:rowOff>
    </xdr:from>
    <xdr:ext cx="5391150" cy="2619375"/>
    <xdr:graphicFrame macro="">
      <xdr:nvGraphicFramePr>
        <xdr:cNvPr id="7" name="Chart 19">
          <a:extLst>
            <a:ext uri="{FF2B5EF4-FFF2-40B4-BE49-F238E27FC236}">
              <a16:creationId xmlns:a16="http://schemas.microsoft.com/office/drawing/2014/main" id="{ADA7B737-6F7D-483E-A71D-ED9227D096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38100</xdr:colOff>
      <xdr:row>15</xdr:row>
      <xdr:rowOff>19050</xdr:rowOff>
    </xdr:from>
    <xdr:ext cx="4219575" cy="2343150"/>
    <xdr:graphicFrame macro="">
      <xdr:nvGraphicFramePr>
        <xdr:cNvPr id="452439200" name="Chart 18">
          <a:extLst>
            <a:ext uri="{FF2B5EF4-FFF2-40B4-BE49-F238E27FC236}">
              <a16:creationId xmlns:a16="http://schemas.microsoft.com/office/drawing/2014/main" id="{00000000-0008-0000-0300-0000A0ACF7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17</xdr:col>
      <xdr:colOff>171450</xdr:colOff>
      <xdr:row>14</xdr:row>
      <xdr:rowOff>38099</xdr:rowOff>
    </xdr:from>
    <xdr:ext cx="4057650" cy="2505075"/>
    <xdr:graphicFrame macro="">
      <xdr:nvGraphicFramePr>
        <xdr:cNvPr id="1658879577" name="Chart 20">
          <a:extLst>
            <a:ext uri="{FF2B5EF4-FFF2-40B4-BE49-F238E27FC236}">
              <a16:creationId xmlns:a16="http://schemas.microsoft.com/office/drawing/2014/main" id="{00000000-0008-0000-0300-0000597EE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142875</xdr:colOff>
      <xdr:row>28</xdr:row>
      <xdr:rowOff>57150</xdr:rowOff>
    </xdr:from>
    <xdr:ext cx="3876675" cy="2714625"/>
    <xdr:graphicFrame macro="">
      <xdr:nvGraphicFramePr>
        <xdr:cNvPr id="1507931960" name="Chart 21">
          <a:extLst>
            <a:ext uri="{FF2B5EF4-FFF2-40B4-BE49-F238E27FC236}">
              <a16:creationId xmlns:a16="http://schemas.microsoft.com/office/drawing/2014/main" id="{00000000-0008-0000-0300-00003837E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14</xdr:col>
      <xdr:colOff>123824</xdr:colOff>
      <xdr:row>28</xdr:row>
      <xdr:rowOff>9525</xdr:rowOff>
    </xdr:from>
    <xdr:ext cx="5219701" cy="2847976"/>
    <xdr:graphicFrame macro="">
      <xdr:nvGraphicFramePr>
        <xdr:cNvPr id="2122495067" name="Chart 22">
          <a:extLst>
            <a:ext uri="{FF2B5EF4-FFF2-40B4-BE49-F238E27FC236}">
              <a16:creationId xmlns:a16="http://schemas.microsoft.com/office/drawing/2014/main" id="{00000000-0008-0000-0300-00005BB482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24</xdr:col>
      <xdr:colOff>95250</xdr:colOff>
      <xdr:row>21</xdr:row>
      <xdr:rowOff>38100</xdr:rowOff>
    </xdr:from>
    <xdr:ext cx="1771650" cy="1200150"/>
    <mc:AlternateContent xmlns:mc="http://schemas.openxmlformats.org/markup-compatibility/2006">
      <mc:Choice xmlns:sle15="http://schemas.microsoft.com/office/drawing/2012/slicer" Requires="sle15">
        <xdr:graphicFrame macro="">
          <xdr:nvGraphicFramePr>
            <xdr:cNvPr id="2" name="Area Type_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Area Type_1"/>
            </a:graphicData>
          </a:graphic>
        </xdr:graphicFrame>
      </mc:Choice>
      <mc:Fallback>
        <xdr:sp macro="" textlink="">
          <xdr:nvSpPr>
            <xdr:cNvPr id="0" name=""/>
            <xdr:cNvSpPr>
              <a:spLocks noTextEdit="1"/>
            </xdr:cNvSpPr>
          </xdr:nvSpPr>
          <xdr:spPr>
            <a:xfrm>
              <a:off x="14268450" y="3743325"/>
              <a:ext cx="1771650" cy="12001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24</xdr:col>
      <xdr:colOff>95250</xdr:colOff>
      <xdr:row>11</xdr:row>
      <xdr:rowOff>47626</xdr:rowOff>
    </xdr:from>
    <xdr:ext cx="1771650" cy="1638300"/>
    <mc:AlternateContent xmlns:mc="http://schemas.openxmlformats.org/markup-compatibility/2006">
      <mc:Choice xmlns:sle15="http://schemas.microsoft.com/office/drawing/2012/slicer" Requires="sle15">
        <xdr:graphicFrame macro="">
          <xdr:nvGraphicFramePr>
            <xdr:cNvPr id="3" name="PRICE CATEGORY_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PRICE CATEGORY_2"/>
            </a:graphicData>
          </a:graphic>
        </xdr:graphicFrame>
      </mc:Choice>
      <mc:Fallback>
        <xdr:sp macro="" textlink="">
          <xdr:nvSpPr>
            <xdr:cNvPr id="0" name=""/>
            <xdr:cNvSpPr>
              <a:spLocks noTextEdit="1"/>
            </xdr:cNvSpPr>
          </xdr:nvSpPr>
          <xdr:spPr>
            <a:xfrm>
              <a:off x="14268450" y="2038351"/>
              <a:ext cx="1771650" cy="16383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26</xdr:col>
      <xdr:colOff>781050</xdr:colOff>
      <xdr:row>2</xdr:row>
      <xdr:rowOff>66675</xdr:rowOff>
    </xdr:from>
    <xdr:ext cx="1771650" cy="4543424"/>
    <mc:AlternateContent xmlns:mc="http://schemas.openxmlformats.org/markup-compatibility/2006">
      <mc:Choice xmlns:sle15="http://schemas.microsoft.com/office/drawing/2012/slicer" Requires="sle15">
        <xdr:graphicFrame macro="">
          <xdr:nvGraphicFramePr>
            <xdr:cNvPr id="4" name="location_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0/slicer">
              <sle:slicer xmlns:sle="http://schemas.microsoft.com/office/drawing/2010/slicer" name="location_3"/>
            </a:graphicData>
          </a:graphic>
        </xdr:graphicFrame>
      </mc:Choice>
      <mc:Fallback>
        <xdr:sp macro="" textlink="">
          <xdr:nvSpPr>
            <xdr:cNvPr id="0" name=""/>
            <xdr:cNvSpPr>
              <a:spLocks noTextEdit="1"/>
            </xdr:cNvSpPr>
          </xdr:nvSpPr>
          <xdr:spPr>
            <a:xfrm>
              <a:off x="16116300" y="428625"/>
              <a:ext cx="1771650" cy="4543424"/>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457200</xdr:colOff>
      <xdr:row>28</xdr:row>
      <xdr:rowOff>142875</xdr:rowOff>
    </xdr:from>
    <xdr:ext cx="4371975" cy="2609850"/>
    <xdr:pic>
      <xdr:nvPicPr>
        <xdr:cNvPr id="5" name="image4.png" title="Chart">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5" cstate="print"/>
        <a:stretch>
          <a:fillRect/>
        </a:stretch>
      </xdr:blipFill>
      <xdr:spPr>
        <a:xfrm>
          <a:off x="4000500" y="5114925"/>
          <a:ext cx="4371975" cy="2609850"/>
        </a:xfrm>
        <a:prstGeom prst="rect">
          <a:avLst/>
        </a:prstGeom>
        <a:noFill/>
      </xdr:spPr>
    </xdr:pic>
    <xdr:clientData fLocksWithSheet="0"/>
  </xdr:oneCellAnchor>
  <xdr:oneCellAnchor>
    <xdr:from>
      <xdr:col>23</xdr:col>
      <xdr:colOff>28575</xdr:colOff>
      <xdr:row>28</xdr:row>
      <xdr:rowOff>57150</xdr:rowOff>
    </xdr:from>
    <xdr:ext cx="4267199" cy="2686050"/>
    <xdr:pic>
      <xdr:nvPicPr>
        <xdr:cNvPr id="6" name="image3.png" title="Chart">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6" cstate="print"/>
        <a:stretch>
          <a:fillRect/>
        </a:stretch>
      </xdr:blipFill>
      <xdr:spPr>
        <a:xfrm>
          <a:off x="13611225" y="5029200"/>
          <a:ext cx="4267199" cy="2686050"/>
        </a:xfrm>
        <a:prstGeom prst="rect">
          <a:avLst/>
        </a:prstGeom>
        <a:noFill/>
      </xdr:spPr>
    </xdr:pic>
    <xdr:clientData fLocksWithSheet="0"/>
  </xdr:oneCellAnchor>
  <xdr:twoCellAnchor>
    <xdr:from>
      <xdr:col>7</xdr:col>
      <xdr:colOff>209550</xdr:colOff>
      <xdr:row>13</xdr:row>
      <xdr:rowOff>161925</xdr:rowOff>
    </xdr:from>
    <xdr:to>
      <xdr:col>17</xdr:col>
      <xdr:colOff>76200</xdr:colOff>
      <xdr:row>28</xdr:row>
      <xdr:rowOff>38100</xdr:rowOff>
    </xdr:to>
    <xdr:graphicFrame macro="">
      <xdr:nvGraphicFramePr>
        <xdr:cNvPr id="7" name="Chart 6">
          <a:extLst>
            <a:ext uri="{FF2B5EF4-FFF2-40B4-BE49-F238E27FC236}">
              <a16:creationId xmlns:a16="http://schemas.microsoft.com/office/drawing/2014/main" id="{A78CB24B-F23F-469D-8442-077FDBEAE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333375</xdr:colOff>
      <xdr:row>0</xdr:row>
      <xdr:rowOff>104775</xdr:rowOff>
    </xdr:from>
    <xdr:to>
      <xdr:col>20</xdr:col>
      <xdr:colOff>371475</xdr:colOff>
      <xdr:row>5</xdr:row>
      <xdr:rowOff>47625</xdr:rowOff>
    </xdr:to>
    <xdr:sp macro="" textlink="">
      <xdr:nvSpPr>
        <xdr:cNvPr id="11" name="TextBox 10">
          <a:extLst>
            <a:ext uri="{FF2B5EF4-FFF2-40B4-BE49-F238E27FC236}">
              <a16:creationId xmlns:a16="http://schemas.microsoft.com/office/drawing/2014/main" id="{43AC97C7-12B9-C032-7245-7142314AAFED}"/>
            </a:ext>
          </a:extLst>
        </xdr:cNvPr>
        <xdr:cNvSpPr txBox="1"/>
      </xdr:nvSpPr>
      <xdr:spPr>
        <a:xfrm>
          <a:off x="3286125" y="104775"/>
          <a:ext cx="8896350" cy="847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endParaRPr lang="en-IN" sz="2800"/>
        </a:p>
        <a:p>
          <a:r>
            <a:rPr lang="en-IN" sz="2800">
              <a:solidFill>
                <a:schemeClr val="accent1">
                  <a:lumMod val="75000"/>
                </a:schemeClr>
              </a:solidFill>
            </a:rPr>
            <a:t>         🏢 </a:t>
          </a:r>
          <a:r>
            <a:rPr lang="en-IN" sz="2800" b="1">
              <a:solidFill>
                <a:schemeClr val="accent1">
                  <a:lumMod val="75000"/>
                </a:schemeClr>
              </a:solidFill>
            </a:rPr>
            <a:t>BENGALURU HOUSE PRICE ANALYSIS</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067.45910266204" createdVersion="8" refreshedVersion="8" minRefreshableVersion="3" recordCount="1255" xr:uid="{C83DE914-A540-4CCD-9AD1-85A704CE41DA}">
  <cacheSource type="worksheet">
    <worksheetSource name="Table_1"/>
  </cacheSource>
  <cacheFields count="8">
    <cacheField name="location" numFmtId="0">
      <sharedItems/>
    </cacheField>
    <cacheField name="property_type" numFmtId="0">
      <sharedItems containsSemiMixedTypes="0" containsString="0" containsNumber="1" containsInteger="1" minValue="11" maxValue="35000"/>
    </cacheField>
    <cacheField name="Bedroom" numFmtId="0">
      <sharedItems containsSemiMixedTypes="0" containsString="0" containsNumber="1" containsInteger="1" minValue="1" maxValue="14" count="12">
        <n v="2"/>
        <n v="5"/>
        <n v="3"/>
        <n v="4"/>
        <n v="6"/>
        <n v="1"/>
        <n v="9"/>
        <n v="8"/>
        <n v="7"/>
        <n v="11"/>
        <n v="10"/>
        <n v="14"/>
      </sharedItems>
    </cacheField>
    <cacheField name="balcony" numFmtId="0">
      <sharedItems containsSemiMixedTypes="0" containsString="0" containsNumber="1" containsInteger="1" minValue="0" maxValue="3"/>
    </cacheField>
    <cacheField name="SIZE _ROOM" numFmtId="2">
      <sharedItems count="11">
        <s v="2 "/>
        <s v="4 "/>
        <s v="3 "/>
        <s v="6 "/>
        <s v="1 "/>
        <s v="8 "/>
        <s v="7 "/>
        <s v="5 "/>
        <s v="11"/>
        <s v="9 "/>
        <s v=""/>
      </sharedItems>
    </cacheField>
    <cacheField name="Area Type" numFmtId="0">
      <sharedItems/>
    </cacheField>
    <cacheField name="PRICE" numFmtId="0">
      <sharedItems containsSemiMixedTypes="0" containsString="0" containsNumber="1" containsInteger="1" minValue="110000" maxValue="22000000"/>
    </cacheField>
    <cacheField name="PRICE CATEGOR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5">
  <r>
    <s v="Electronic City Phase II"/>
    <n v="1056"/>
    <x v="0"/>
    <n v="1"/>
    <x v="0"/>
    <s v="Medium"/>
    <n v="390700"/>
    <s v="Low"/>
  </r>
  <r>
    <s v="Chikka Tirupathi"/>
    <n v="2600"/>
    <x v="1"/>
    <n v="3"/>
    <x v="1"/>
    <s v="Large"/>
    <n v="1200000"/>
    <s v="High"/>
  </r>
  <r>
    <s v="Uttarahalli"/>
    <n v="1440"/>
    <x v="0"/>
    <n v="3"/>
    <x v="2"/>
    <s v="Medium"/>
    <n v="620000"/>
    <s v="Medium"/>
  </r>
  <r>
    <s v="Lingadheeranahalli"/>
    <n v="1521"/>
    <x v="2"/>
    <n v="1"/>
    <x v="2"/>
    <s v="Medium"/>
    <n v="950000"/>
    <s v="Medium"/>
  </r>
  <r>
    <s v="Kothanur"/>
    <n v="1200"/>
    <x v="0"/>
    <n v="1"/>
    <x v="0"/>
    <s v="Medium"/>
    <n v="510000"/>
    <s v="Medium"/>
  </r>
  <r>
    <s v="Whitefield"/>
    <n v="1170"/>
    <x v="0"/>
    <n v="1"/>
    <x v="0"/>
    <s v="Medium"/>
    <n v="380000"/>
    <s v="Low"/>
  </r>
  <r>
    <s v="Old Airport Road"/>
    <n v="2732"/>
    <x v="3"/>
    <n v="2"/>
    <x v="1"/>
    <s v="Large"/>
    <n v="2040000"/>
    <s v="High"/>
  </r>
  <r>
    <s v="Rajaji Nagar"/>
    <n v="3300"/>
    <x v="3"/>
    <n v="2"/>
    <x v="1"/>
    <s v="Large"/>
    <n v="6000000"/>
    <s v="Luxury"/>
  </r>
  <r>
    <s v="Marathahalli"/>
    <n v="1310"/>
    <x v="2"/>
    <n v="1"/>
    <x v="2"/>
    <s v="Medium"/>
    <n v="632500"/>
    <s v="Medium"/>
  </r>
  <r>
    <s v="Gandhi Bazar"/>
    <n v="1020"/>
    <x v="4"/>
    <n v="2"/>
    <x v="3"/>
    <s v="Medium"/>
    <n v="3700000"/>
    <s v="Luxury"/>
  </r>
  <r>
    <s v="Whitefield"/>
    <n v="1800"/>
    <x v="0"/>
    <n v="2"/>
    <x v="2"/>
    <s v="Medium"/>
    <n v="700000"/>
    <s v="Medium"/>
  </r>
  <r>
    <s v="Whitefield"/>
    <n v="2785"/>
    <x v="1"/>
    <n v="3"/>
    <x v="1"/>
    <s v="Large"/>
    <n v="2950000"/>
    <s v="High"/>
  </r>
  <r>
    <s v="7th Phase JP Nagar"/>
    <n v="1000"/>
    <x v="0"/>
    <n v="1"/>
    <x v="0"/>
    <s v="Small"/>
    <n v="380000"/>
    <s v="Low"/>
  </r>
  <r>
    <s v="Gottigere"/>
    <n v="1100"/>
    <x v="0"/>
    <n v="2"/>
    <x v="0"/>
    <s v="Medium"/>
    <n v="400000"/>
    <s v="Low"/>
  </r>
  <r>
    <s v="Sarjapur"/>
    <n v="2250"/>
    <x v="2"/>
    <n v="2"/>
    <x v="2"/>
    <s v="Large"/>
    <n v="1480000"/>
    <s v="High"/>
  </r>
  <r>
    <s v="Mysore Road"/>
    <n v="1175"/>
    <x v="0"/>
    <n v="2"/>
    <x v="0"/>
    <s v="Medium"/>
    <n v="735000"/>
    <s v="Medium"/>
  </r>
  <r>
    <s v="Bisuvanahalli"/>
    <n v="1180"/>
    <x v="2"/>
    <n v="2"/>
    <x v="2"/>
    <s v="Medium"/>
    <n v="480000"/>
    <s v="Low"/>
  </r>
  <r>
    <s v="Raja Rajeshwari Nagar"/>
    <n v="1540"/>
    <x v="2"/>
    <n v="3"/>
    <x v="2"/>
    <s v="Medium"/>
    <n v="600000"/>
    <s v="Medium"/>
  </r>
  <r>
    <s v="Ramakrishnappa Layout"/>
    <n v="2770"/>
    <x v="3"/>
    <n v="2"/>
    <x v="2"/>
    <s v="Large"/>
    <n v="2900000"/>
    <s v="High"/>
  </r>
  <r>
    <s v="Manayata Tech Park"/>
    <n v="1100"/>
    <x v="0"/>
    <n v="2"/>
    <x v="0"/>
    <s v="Medium"/>
    <n v="480000"/>
    <s v="Low"/>
  </r>
  <r>
    <s v="Kengeri"/>
    <n v="600"/>
    <x v="5"/>
    <n v="1"/>
    <x v="4"/>
    <s v="Small"/>
    <n v="150000"/>
    <s v="Low"/>
  </r>
  <r>
    <s v="Binny Pete"/>
    <n v="1755"/>
    <x v="2"/>
    <n v="1"/>
    <x v="2"/>
    <s v="Medium"/>
    <n v="1220000"/>
    <s v="High"/>
  </r>
  <r>
    <s v="Thanisandra"/>
    <n v="2800"/>
    <x v="1"/>
    <n v="2"/>
    <x v="1"/>
    <s v="Large"/>
    <n v="3800000"/>
    <s v="Luxury"/>
  </r>
  <r>
    <s v="Bellandur"/>
    <n v="1767"/>
    <x v="2"/>
    <n v="1"/>
    <x v="2"/>
    <s v="Medium"/>
    <n v="1030000"/>
    <s v="High"/>
  </r>
  <r>
    <s v="Thanisandra"/>
    <n v="510"/>
    <x v="5"/>
    <n v="0"/>
    <x v="4"/>
    <s v="Small"/>
    <n v="252500"/>
    <s v="Low"/>
  </r>
  <r>
    <s v="Mangammanapalya"/>
    <n v="1250"/>
    <x v="2"/>
    <n v="2"/>
    <x v="2"/>
    <s v="Medium"/>
    <n v="560000"/>
    <s v="Medium"/>
  </r>
  <r>
    <s v="Electronic City"/>
    <n v="660"/>
    <x v="5"/>
    <n v="1"/>
    <x v="0"/>
    <s v="Small"/>
    <n v="231000"/>
    <s v="Low"/>
  </r>
  <r>
    <s v="Whitefield"/>
    <n v="1610"/>
    <x v="2"/>
    <n v="2"/>
    <x v="2"/>
    <s v="Medium"/>
    <n v="810000"/>
    <s v="Medium"/>
  </r>
  <r>
    <s v="Ramagondanahalli"/>
    <n v="1151"/>
    <x v="0"/>
    <n v="2"/>
    <x v="0"/>
    <s v="Medium"/>
    <n v="487700"/>
    <s v="Low"/>
  </r>
  <r>
    <s v="Electronic City"/>
    <n v="1025"/>
    <x v="0"/>
    <n v="1"/>
    <x v="2"/>
    <s v="Medium"/>
    <n v="470000"/>
    <s v="Low"/>
  </r>
  <r>
    <s v="Yelahanka"/>
    <n v="1559"/>
    <x v="3"/>
    <n v="0"/>
    <x v="1"/>
    <s v="Medium"/>
    <n v="1860000"/>
    <s v="High"/>
  </r>
  <r>
    <s v="Bisuvanahalli"/>
    <n v="1075"/>
    <x v="0"/>
    <n v="1"/>
    <x v="2"/>
    <s v="Medium"/>
    <n v="350000"/>
    <s v="Low"/>
  </r>
  <r>
    <s v="Hebbal"/>
    <n v="1760"/>
    <x v="0"/>
    <n v="2"/>
    <x v="2"/>
    <s v="Medium"/>
    <n v="1230000"/>
    <s v="High"/>
  </r>
  <r>
    <s v="Raja Rajeshwari Nagar"/>
    <n v="1693"/>
    <x v="2"/>
    <n v="3"/>
    <x v="2"/>
    <s v="Medium"/>
    <n v="573900"/>
    <s v="Medium"/>
  </r>
  <r>
    <s v="Kasturi Nagar"/>
    <n v="1925"/>
    <x v="2"/>
    <n v="2"/>
    <x v="2"/>
    <s v="Medium"/>
    <n v="1250000"/>
    <s v="High"/>
  </r>
  <r>
    <s v="Kanakpura Road"/>
    <n v="700"/>
    <x v="0"/>
    <n v="1"/>
    <x v="0"/>
    <s v="Small"/>
    <n v="360000"/>
    <s v="Low"/>
  </r>
  <r>
    <s v="Electronics City Phase 1"/>
    <n v="1070"/>
    <x v="0"/>
    <n v="1"/>
    <x v="0"/>
    <s v="Medium"/>
    <n v="455000"/>
    <s v="Low"/>
  </r>
  <r>
    <s v="Kundalahalli"/>
    <n v="1724"/>
    <x v="2"/>
    <n v="2"/>
    <x v="2"/>
    <s v="Medium"/>
    <n v="1250000"/>
    <s v="High"/>
  </r>
  <r>
    <s v="Chikkalasandra"/>
    <n v="1290"/>
    <x v="0"/>
    <n v="2"/>
    <x v="2"/>
    <s v="Medium"/>
    <n v="561200"/>
    <s v="Medium"/>
  </r>
  <r>
    <s v="Uttarahalli"/>
    <n v="1143"/>
    <x v="0"/>
    <n v="2"/>
    <x v="0"/>
    <s v="Medium"/>
    <n v="450000"/>
    <s v="Low"/>
  </r>
  <r>
    <s v="Murugeshpalya"/>
    <n v="1296"/>
    <x v="0"/>
    <n v="2"/>
    <x v="0"/>
    <s v="Medium"/>
    <n v="810000"/>
    <s v="Medium"/>
  </r>
  <r>
    <s v="Sarjapur  Road"/>
    <n v="1254"/>
    <x v="2"/>
    <n v="2"/>
    <x v="2"/>
    <s v="Medium"/>
    <n v="380000"/>
    <s v="Low"/>
  </r>
  <r>
    <s v="Ganga Nagar"/>
    <n v="600"/>
    <x v="5"/>
    <n v="0"/>
    <x v="4"/>
    <s v="Small"/>
    <n v="380000"/>
    <s v="Low"/>
  </r>
  <r>
    <s v="Yelahanka"/>
    <n v="660"/>
    <x v="5"/>
    <n v="0"/>
    <x v="4"/>
    <s v="Small"/>
    <n v="480000"/>
    <s v="Low"/>
  </r>
  <r>
    <s v="Kanakpura Road"/>
    <n v="1331"/>
    <x v="0"/>
    <n v="2"/>
    <x v="0"/>
    <s v="Medium"/>
    <n v="917900"/>
    <s v="Medium"/>
  </r>
  <r>
    <s v="HSR Layout"/>
    <n v="600"/>
    <x v="6"/>
    <n v="2"/>
    <x v="5"/>
    <s v="Small"/>
    <n v="2000000"/>
    <s v="High"/>
  </r>
  <r>
    <s v="Doddathoguru"/>
    <n v="970"/>
    <x v="0"/>
    <n v="0"/>
    <x v="0"/>
    <s v="Small"/>
    <n v="330000"/>
    <s v="Low"/>
  </r>
  <r>
    <s v="Whitefield"/>
    <n v="1459"/>
    <x v="0"/>
    <n v="1"/>
    <x v="0"/>
    <s v="Medium"/>
    <n v="948200"/>
    <s v="Medium"/>
  </r>
  <r>
    <s v="KR Puram"/>
    <n v="800"/>
    <x v="5"/>
    <n v="1"/>
    <x v="0"/>
    <s v="Small"/>
    <n v="1300000"/>
    <s v="High"/>
  </r>
  <r>
    <s v="Himagiri Meadows"/>
    <n v="869"/>
    <x v="0"/>
    <n v="1"/>
    <x v="0"/>
    <s v="Small"/>
    <n v="360000"/>
    <s v="Low"/>
  </r>
  <r>
    <s v="Adarsh Nagar"/>
    <n v="1270"/>
    <x v="0"/>
    <n v="1"/>
    <x v="0"/>
    <s v="Medium"/>
    <n v="500000"/>
    <s v="Low"/>
  </r>
  <r>
    <s v="Bhoganhalli"/>
    <n v="1670"/>
    <x v="2"/>
    <n v="1"/>
    <x v="2"/>
    <s v="Medium"/>
    <n v="990000"/>
    <s v="Medium"/>
  </r>
  <r>
    <s v="Whitefield"/>
    <n v="2010"/>
    <x v="2"/>
    <n v="2"/>
    <x v="2"/>
    <s v="Large"/>
    <n v="910000"/>
    <s v="Medium"/>
  </r>
  <r>
    <s v="Lakshminarayana Pura"/>
    <n v="1185"/>
    <x v="0"/>
    <n v="2"/>
    <x v="0"/>
    <s v="Medium"/>
    <n v="750000"/>
    <s v="Medium"/>
  </r>
  <r>
    <s v="Yelahanka"/>
    <n v="1600"/>
    <x v="0"/>
    <n v="3"/>
    <x v="2"/>
    <s v="Medium"/>
    <n v="750000"/>
    <s v="Medium"/>
  </r>
  <r>
    <s v="Begur Road"/>
    <n v="1200"/>
    <x v="0"/>
    <n v="2"/>
    <x v="0"/>
    <s v="Medium"/>
    <n v="440000"/>
    <s v="Low"/>
  </r>
  <r>
    <s v="Devanahalli"/>
    <n v="1559"/>
    <x v="0"/>
    <n v="2"/>
    <x v="1"/>
    <s v="Medium"/>
    <n v="1920000"/>
    <s v="High"/>
  </r>
  <r>
    <s v="Ramakrishnappa Layout"/>
    <n v="1500"/>
    <x v="0"/>
    <n v="2"/>
    <x v="0"/>
    <s v="Medium"/>
    <n v="1850000"/>
    <s v="High"/>
  </r>
  <r>
    <s v="Murugeshpalya"/>
    <n v="1407"/>
    <x v="3"/>
    <n v="1"/>
    <x v="3"/>
    <s v="Medium"/>
    <n v="1500000"/>
    <s v="High"/>
  </r>
  <r>
    <s v="Govindaraja Nagar Ward"/>
    <n v="840"/>
    <x v="0"/>
    <n v="2"/>
    <x v="0"/>
    <s v="Small"/>
    <n v="450000"/>
    <s v="Low"/>
  </r>
  <r>
    <s v="Tharabanahalli"/>
    <n v="4395"/>
    <x v="2"/>
    <n v="2"/>
    <x v="2"/>
    <s v="Large"/>
    <n v="2400000"/>
    <s v="High"/>
  </r>
  <r>
    <s v="Ganga Nagar"/>
    <n v="845"/>
    <x v="0"/>
    <n v="1"/>
    <x v="0"/>
    <s v="Small"/>
    <n v="550000"/>
    <s v="Medium"/>
  </r>
  <r>
    <s v="Whitefield"/>
    <n v="5700"/>
    <x v="1"/>
    <n v="3"/>
    <x v="1"/>
    <s v="Large"/>
    <n v="6500000"/>
    <s v="Luxury"/>
  </r>
  <r>
    <s v="Varthur"/>
    <n v="1160"/>
    <x v="0"/>
    <n v="2"/>
    <x v="0"/>
    <s v="Medium"/>
    <n v="440000"/>
    <s v="Low"/>
  </r>
  <r>
    <s v="Bommanahalli"/>
    <n v="3000"/>
    <x v="7"/>
    <n v="0"/>
    <x v="5"/>
    <s v="Large"/>
    <n v="1400000"/>
    <s v="High"/>
  </r>
  <r>
    <s v="Doddathoguru"/>
    <n v="1100"/>
    <x v="0"/>
    <n v="1"/>
    <x v="0"/>
    <s v="Medium"/>
    <n v="620000"/>
    <s v="Medium"/>
  </r>
  <r>
    <s v="Gunjur"/>
    <n v="1140"/>
    <x v="0"/>
    <n v="3"/>
    <x v="0"/>
    <s v="Medium"/>
    <n v="430000"/>
    <s v="Low"/>
  </r>
  <r>
    <s v="Marathahalli"/>
    <n v="1220"/>
    <x v="0"/>
    <n v="1"/>
    <x v="0"/>
    <s v="Medium"/>
    <n v="570000"/>
    <s v="Medium"/>
  </r>
  <r>
    <s v="Devarachikkanahalli"/>
    <n v="1350"/>
    <x v="8"/>
    <n v="0"/>
    <x v="5"/>
    <s v="Medium"/>
    <n v="850000"/>
    <s v="Medium"/>
  </r>
  <r>
    <s v="Kanakpura Road"/>
    <n v="1005"/>
    <x v="0"/>
    <n v="1"/>
    <x v="0"/>
    <s v="Medium"/>
    <n v="366800"/>
    <s v="Low"/>
  </r>
  <r>
    <s v="Double Road"/>
    <n v="500"/>
    <x v="2"/>
    <n v="2"/>
    <x v="2"/>
    <s v="Small"/>
    <n v="1000000"/>
    <s v="Medium"/>
  </r>
  <r>
    <s v="Begur Road"/>
    <n v="1358"/>
    <x v="0"/>
    <n v="1"/>
    <x v="0"/>
    <s v="Medium"/>
    <n v="805800"/>
    <s v="Medium"/>
  </r>
  <r>
    <s v="Hegde Nagar"/>
    <n v="1569"/>
    <x v="2"/>
    <n v="1"/>
    <x v="2"/>
    <s v="Medium"/>
    <n v="1010000"/>
    <s v="High"/>
  </r>
  <r>
    <s v="Haralur Road"/>
    <n v="1240"/>
    <x v="0"/>
    <n v="1"/>
    <x v="0"/>
    <s v="Medium"/>
    <n v="700000"/>
    <s v="Medium"/>
  </r>
  <r>
    <s v="Hennur Road"/>
    <n v="2089"/>
    <x v="2"/>
    <n v="2"/>
    <x v="2"/>
    <s v="Large"/>
    <n v="1400000"/>
    <s v="High"/>
  </r>
  <r>
    <s v="Kothannur"/>
    <n v="1206"/>
    <x v="0"/>
    <n v="1"/>
    <x v="0"/>
    <s v="Medium"/>
    <n v="482300"/>
    <s v="Low"/>
  </r>
  <r>
    <s v="Kalena Agrahara"/>
    <n v="1150"/>
    <x v="0"/>
    <n v="3"/>
    <x v="0"/>
    <s v="Medium"/>
    <n v="400000"/>
    <s v="Low"/>
  </r>
  <r>
    <s v="Cholanayakanahalli"/>
    <n v="2511"/>
    <x v="2"/>
    <n v="3"/>
    <x v="2"/>
    <s v="Large"/>
    <n v="2050000"/>
    <s v="High"/>
  </r>
  <r>
    <s v="Kaval Byrasandra"/>
    <n v="460"/>
    <x v="5"/>
    <n v="0"/>
    <x v="0"/>
    <s v="Small"/>
    <n v="220000"/>
    <s v="Low"/>
  </r>
  <r>
    <s v="ISRO Layout"/>
    <n v="4400"/>
    <x v="4"/>
    <n v="3"/>
    <x v="3"/>
    <s v="Large"/>
    <n v="2500000"/>
    <s v="High"/>
  </r>
  <r>
    <s v="Kodanda Reddy Layout"/>
    <n v="1660"/>
    <x v="0"/>
    <n v="2"/>
    <x v="2"/>
    <s v="Medium"/>
    <n v="1050000"/>
    <s v="High"/>
  </r>
  <r>
    <s v="Hennur Road"/>
    <n v="1559"/>
    <x v="0"/>
    <n v="2"/>
    <x v="1"/>
    <s v="Medium"/>
    <n v="2245000"/>
    <s v="High"/>
  </r>
  <r>
    <s v="Yelahanka"/>
    <n v="1326"/>
    <x v="0"/>
    <n v="2"/>
    <x v="0"/>
    <s v="Medium"/>
    <n v="780000"/>
    <s v="Medium"/>
  </r>
  <r>
    <s v="Garudachar Palya"/>
    <n v="1325"/>
    <x v="0"/>
    <n v="2"/>
    <x v="2"/>
    <s v="Medium"/>
    <n v="608000"/>
    <s v="Medium"/>
  </r>
  <r>
    <s v="EPIP Zone"/>
    <n v="1499"/>
    <x v="1"/>
    <n v="2"/>
    <x v="2"/>
    <s v="Medium"/>
    <n v="1020000"/>
    <s v="High"/>
  </r>
  <r>
    <s v="Hegde Nagar"/>
    <n v="3000"/>
    <x v="8"/>
    <n v="2"/>
    <x v="3"/>
    <s v="Large"/>
    <n v="2100000"/>
    <s v="High"/>
  </r>
  <r>
    <s v="Kanakpura Road"/>
    <n v="1665"/>
    <x v="2"/>
    <n v="2"/>
    <x v="2"/>
    <s v="Medium"/>
    <n v="880000"/>
    <s v="Medium"/>
  </r>
  <r>
    <s v="Dasanapura"/>
    <n v="708"/>
    <x v="0"/>
    <n v="2"/>
    <x v="0"/>
    <s v="Small"/>
    <n v="370000"/>
    <s v="Low"/>
  </r>
  <r>
    <s v="Kasavanhalli"/>
    <n v="1060"/>
    <x v="0"/>
    <n v="2"/>
    <x v="0"/>
    <s v="Medium"/>
    <n v="580600"/>
    <s v="Medium"/>
  </r>
  <r>
    <s v="Rajaji Nagar"/>
    <n v="710"/>
    <x v="4"/>
    <n v="3"/>
    <x v="3"/>
    <s v="Small"/>
    <n v="1600000"/>
    <s v="High"/>
  </r>
  <r>
    <s v="Sanjay nagar"/>
    <n v="1000"/>
    <x v="0"/>
    <n v="2"/>
    <x v="0"/>
    <s v="Small"/>
    <n v="700000"/>
    <s v="Medium"/>
  </r>
  <r>
    <s v="Electronic City"/>
    <n v="1000"/>
    <x v="0"/>
    <n v="1"/>
    <x v="0"/>
    <s v="Small"/>
    <n v="288800"/>
    <s v="Low"/>
  </r>
  <r>
    <s v="Mysore Highway"/>
    <n v="1450"/>
    <x v="0"/>
    <n v="2"/>
    <x v="2"/>
    <s v="Medium"/>
    <n v="700000"/>
    <s v="Medium"/>
  </r>
  <r>
    <s v="ISRO Layout"/>
    <n v="1200"/>
    <x v="3"/>
    <n v="2"/>
    <x v="1"/>
    <s v="Medium"/>
    <n v="1550000"/>
    <s v="High"/>
  </r>
  <r>
    <s v="Thanisandra"/>
    <n v="1296"/>
    <x v="0"/>
    <n v="3"/>
    <x v="0"/>
    <s v="Medium"/>
    <n v="800000"/>
    <s v="Medium"/>
  </r>
  <r>
    <s v="Domlur"/>
    <n v="1540"/>
    <x v="2"/>
    <n v="2"/>
    <x v="2"/>
    <s v="Medium"/>
    <n v="900000"/>
    <s v="Medium"/>
  </r>
  <r>
    <s v="Kengeri"/>
    <n v="2894"/>
    <x v="3"/>
    <n v="1"/>
    <x v="1"/>
    <s v="Large"/>
    <n v="2450000"/>
    <s v="High"/>
  </r>
  <r>
    <s v="Sarjapura - Attibele Road"/>
    <n v="1330"/>
    <x v="0"/>
    <n v="1"/>
    <x v="2"/>
    <s v="Medium"/>
    <n v="480000"/>
    <s v="Low"/>
  </r>
  <r>
    <s v="Devasthanagalu"/>
    <n v="1200"/>
    <x v="0"/>
    <n v="1"/>
    <x v="0"/>
    <s v="Medium"/>
    <n v="650000"/>
    <s v="Medium"/>
  </r>
  <r>
    <s v="T Dasarahalli"/>
    <n v="1200"/>
    <x v="2"/>
    <n v="1"/>
    <x v="2"/>
    <s v="Medium"/>
    <n v="900000"/>
    <s v="Medium"/>
  </r>
  <r>
    <s v="Yeshwanthpur"/>
    <n v="2502"/>
    <x v="2"/>
    <n v="3"/>
    <x v="2"/>
    <s v="Large"/>
    <n v="1380000"/>
    <s v="High"/>
  </r>
  <r>
    <s v="Chandapura"/>
    <n v="650"/>
    <x v="5"/>
    <n v="1"/>
    <x v="0"/>
    <s v="Small"/>
    <n v="170000"/>
    <s v="Low"/>
  </r>
  <r>
    <s v="Kothanur"/>
    <n v="2400"/>
    <x v="0"/>
    <n v="1"/>
    <x v="2"/>
    <s v="Large"/>
    <n v="1500000"/>
    <s v="High"/>
  </r>
  <r>
    <s v="Green View Layout"/>
    <n v="1007"/>
    <x v="0"/>
    <n v="2"/>
    <x v="0"/>
    <s v="Medium"/>
    <n v="430000"/>
    <s v="Low"/>
  </r>
  <r>
    <s v="Shantiniketan Layout"/>
    <n v="1200"/>
    <x v="0"/>
    <n v="2"/>
    <x v="0"/>
    <s v="Medium"/>
    <n v="500000"/>
    <s v="Low"/>
  </r>
  <r>
    <s v="Peenya"/>
    <n v="966"/>
    <x v="0"/>
    <n v="2"/>
    <x v="0"/>
    <s v="Small"/>
    <n v="499000"/>
    <s v="Low"/>
  </r>
  <r>
    <s v="Nagarbhavi"/>
    <n v="1630"/>
    <x v="0"/>
    <n v="1"/>
    <x v="2"/>
    <s v="Medium"/>
    <n v="980000"/>
    <s v="Medium"/>
  </r>
  <r>
    <s v="Rajaji Nagar"/>
    <n v="1640"/>
    <x v="2"/>
    <n v="2"/>
    <x v="2"/>
    <s v="Medium"/>
    <n v="2290000"/>
    <s v="High"/>
  </r>
  <r>
    <s v="Jalahalli West"/>
    <n v="782"/>
    <x v="0"/>
    <n v="2"/>
    <x v="0"/>
    <s v="Small"/>
    <n v="556800"/>
    <s v="Medium"/>
  </r>
  <r>
    <s v="Devanahalli"/>
    <n v="1260"/>
    <x v="0"/>
    <n v="2"/>
    <x v="0"/>
    <s v="Medium"/>
    <n v="667800"/>
    <s v="Medium"/>
  </r>
  <r>
    <s v="Lakshmiamma Garden"/>
    <n v="1800"/>
    <x v="2"/>
    <n v="3"/>
    <x v="2"/>
    <s v="Medium"/>
    <n v="1200000"/>
    <s v="High"/>
  </r>
  <r>
    <s v="Byatarayanapura"/>
    <n v="1413"/>
    <x v="0"/>
    <n v="2"/>
    <x v="2"/>
    <s v="Medium"/>
    <n v="750000"/>
    <s v="Medium"/>
  </r>
  <r>
    <s v="Whitefield"/>
    <n v="1116"/>
    <x v="0"/>
    <n v="1"/>
    <x v="0"/>
    <s v="Medium"/>
    <n v="519100"/>
    <s v="Medium"/>
  </r>
  <r>
    <s v="Electronic City"/>
    <n v="1530"/>
    <x v="0"/>
    <n v="1"/>
    <x v="2"/>
    <s v="Medium"/>
    <n v="459000"/>
    <s v="Low"/>
  </r>
  <r>
    <s v="Ramamurthy Nagar"/>
    <n v="3700"/>
    <x v="3"/>
    <n v="1"/>
    <x v="1"/>
    <s v="Large"/>
    <n v="2250000"/>
    <s v="High"/>
  </r>
  <r>
    <s v="Sarjapur  Road"/>
    <n v="2497"/>
    <x v="2"/>
    <n v="2"/>
    <x v="2"/>
    <s v="Large"/>
    <n v="1400000"/>
    <s v="High"/>
  </r>
  <r>
    <s v="Kengeri"/>
    <n v="1540"/>
    <x v="0"/>
    <n v="3"/>
    <x v="2"/>
    <s v="Medium"/>
    <n v="640000"/>
    <s v="Medium"/>
  </r>
  <r>
    <s v="Thanisandra"/>
    <n v="1436"/>
    <x v="2"/>
    <n v="1"/>
    <x v="2"/>
    <s v="Medium"/>
    <n v="747500"/>
    <s v="Medium"/>
  </r>
  <r>
    <s v="Malleshwaram"/>
    <n v="1100"/>
    <x v="0"/>
    <n v="2"/>
    <x v="0"/>
    <s v="Medium"/>
    <n v="750000"/>
    <s v="Medium"/>
  </r>
  <r>
    <s v="Hennur Road"/>
    <n v="276"/>
    <x v="2"/>
    <n v="3"/>
    <x v="0"/>
    <s v="Small"/>
    <n v="230000"/>
    <s v="Low"/>
  </r>
  <r>
    <s v="Thanisandra"/>
    <n v="1427"/>
    <x v="2"/>
    <n v="2"/>
    <x v="2"/>
    <s v="Medium"/>
    <n v="1200000"/>
    <s v="High"/>
  </r>
  <r>
    <s v="Akshaya Nagar"/>
    <n v="2061"/>
    <x v="2"/>
    <n v="1"/>
    <x v="2"/>
    <s v="Large"/>
    <n v="2000000"/>
    <s v="High"/>
  </r>
  <r>
    <s v="Hebbal"/>
    <n v="1559"/>
    <x v="3"/>
    <n v="0"/>
    <x v="1"/>
    <s v="Medium"/>
    <n v="4770000"/>
    <s v="Luxury"/>
  </r>
  <r>
    <s v="Shampura"/>
    <n v="2650"/>
    <x v="3"/>
    <n v="2"/>
    <x v="1"/>
    <s v="Large"/>
    <n v="1500000"/>
    <s v="High"/>
  </r>
  <r>
    <s v="Devanahalli"/>
    <n v="1282"/>
    <x v="0"/>
    <n v="2"/>
    <x v="2"/>
    <s v="Medium"/>
    <n v="685200"/>
    <s v="Medium"/>
  </r>
  <r>
    <s v="Kadugodi"/>
    <n v="1050"/>
    <x v="0"/>
    <n v="1"/>
    <x v="0"/>
    <s v="Medium"/>
    <n v="340000"/>
    <s v="Low"/>
  </r>
  <r>
    <s v="LB Shastri Nagar"/>
    <n v="1600"/>
    <x v="2"/>
    <n v="2"/>
    <x v="2"/>
    <s v="Medium"/>
    <n v="650000"/>
    <s v="Medium"/>
  </r>
  <r>
    <s v="Vajarahalli"/>
    <n v="945"/>
    <x v="0"/>
    <n v="1"/>
    <x v="0"/>
    <s v="Small"/>
    <n v="540000"/>
    <s v="Medium"/>
  </r>
  <r>
    <s v="Hormavu"/>
    <n v="1500"/>
    <x v="0"/>
    <n v="1"/>
    <x v="0"/>
    <s v="Medium"/>
    <n v="780000"/>
    <s v="Medium"/>
  </r>
  <r>
    <s v="Vishwapriya Layout"/>
    <n v="950"/>
    <x v="8"/>
    <n v="0"/>
    <x v="6"/>
    <s v="Small"/>
    <n v="1150000"/>
    <s v="High"/>
  </r>
  <r>
    <s v="Peenya"/>
    <n v="1870"/>
    <x v="2"/>
    <n v="3"/>
    <x v="2"/>
    <s v="Medium"/>
    <n v="1100000"/>
    <s v="High"/>
  </r>
  <r>
    <s v="Sarjapur"/>
    <n v="1600"/>
    <x v="2"/>
    <n v="1"/>
    <x v="2"/>
    <s v="Medium"/>
    <n v="750000"/>
    <s v="Medium"/>
  </r>
  <r>
    <s v="Electronic City"/>
    <n v="880"/>
    <x v="5"/>
    <n v="1"/>
    <x v="0"/>
    <s v="Small"/>
    <n v="165000"/>
    <s v="Low"/>
  </r>
  <r>
    <s v="Ramaswamy Palya - Kammanahalli Main Road"/>
    <n v="1200"/>
    <x v="3"/>
    <n v="0"/>
    <x v="1"/>
    <s v="Medium"/>
    <n v="2100000"/>
    <s v="High"/>
  </r>
  <r>
    <s v="Kudlu Gate"/>
    <n v="1535"/>
    <x v="2"/>
    <n v="2"/>
    <x v="2"/>
    <s v="Medium"/>
    <n v="830000"/>
    <s v="Medium"/>
  </r>
  <r>
    <s v="Kanakpura Road"/>
    <n v="950"/>
    <x v="0"/>
    <n v="1"/>
    <x v="0"/>
    <s v="Small"/>
    <n v="570000"/>
    <s v="Medium"/>
  </r>
  <r>
    <s v="Devanahalli"/>
    <n v="1360"/>
    <x v="0"/>
    <n v="1"/>
    <x v="0"/>
    <s v="Medium"/>
    <n v="650000"/>
    <s v="Medium"/>
  </r>
  <r>
    <s v="8th Phase JP Nagar"/>
    <n v="1559"/>
    <x v="0"/>
    <n v="0"/>
    <x v="0"/>
    <s v="Medium"/>
    <n v="540050"/>
    <s v="Medium"/>
  </r>
  <r>
    <s v="Bommasandra Industrial Area"/>
    <n v="1280"/>
    <x v="2"/>
    <n v="1"/>
    <x v="2"/>
    <s v="Medium"/>
    <n v="504000"/>
    <s v="Medium"/>
  </r>
  <r>
    <s v="Chandra Layout"/>
    <n v="1260"/>
    <x v="0"/>
    <n v="2"/>
    <x v="2"/>
    <s v="Medium"/>
    <n v="850500"/>
    <s v="Medium"/>
  </r>
  <r>
    <s v="Hennur Road"/>
    <n v="5000"/>
    <x v="7"/>
    <n v="2"/>
    <x v="5"/>
    <s v="Large"/>
    <n v="2500000"/>
    <s v="High"/>
  </r>
  <r>
    <s v="Yelahanka"/>
    <n v="3050"/>
    <x v="1"/>
    <n v="1"/>
    <x v="7"/>
    <s v="Large"/>
    <n v="2130000"/>
    <s v="High"/>
  </r>
  <r>
    <s v="Kasavanhalli"/>
    <n v="1563"/>
    <x v="2"/>
    <n v="1"/>
    <x v="2"/>
    <s v="Medium"/>
    <n v="1050000"/>
    <s v="High"/>
  </r>
  <r>
    <s v="ISRO Layout"/>
    <n v="1000"/>
    <x v="0"/>
    <n v="1"/>
    <x v="0"/>
    <s v="Small"/>
    <n v="600000"/>
    <s v="Medium"/>
  </r>
  <r>
    <s v="Anandapura"/>
    <n v="1167"/>
    <x v="0"/>
    <n v="1"/>
    <x v="0"/>
    <s v="Medium"/>
    <n v="437600"/>
    <s v="Low"/>
  </r>
  <r>
    <s v="Vishveshwarya Layout"/>
    <n v="4000"/>
    <x v="8"/>
    <n v="2"/>
    <x v="6"/>
    <s v="Large"/>
    <n v="2250000"/>
    <s v="High"/>
  </r>
  <r>
    <s v="Kothanur"/>
    <n v="1828"/>
    <x v="2"/>
    <n v="2"/>
    <x v="2"/>
    <s v="Medium"/>
    <n v="1100000"/>
    <s v="High"/>
  </r>
  <r>
    <s v="Kengeri Satellite Town"/>
    <n v="890"/>
    <x v="0"/>
    <n v="1"/>
    <x v="0"/>
    <s v="Small"/>
    <n v="350000"/>
    <s v="Low"/>
  </r>
  <r>
    <s v="Basavanapura"/>
    <n v="1612"/>
    <x v="2"/>
    <n v="3"/>
    <x v="2"/>
    <s v="Medium"/>
    <n v="467400"/>
    <s v="Low"/>
  </r>
  <r>
    <s v="Dinnur"/>
    <n v="1034"/>
    <x v="1"/>
    <n v="2"/>
    <x v="3"/>
    <s v="Medium"/>
    <n v="1850000"/>
    <s v="High"/>
  </r>
  <r>
    <s v="Mysore Road"/>
    <n v="1710"/>
    <x v="3"/>
    <n v="2"/>
    <x v="2"/>
    <s v="Medium"/>
    <n v="913100"/>
    <s v="Medium"/>
  </r>
  <r>
    <s v="Kannamangala"/>
    <n v="957"/>
    <x v="0"/>
    <n v="1"/>
    <x v="0"/>
    <s v="Small"/>
    <n v="580000"/>
    <s v="Medium"/>
  </r>
  <r>
    <s v="Devarachikkanahalli"/>
    <n v="1250"/>
    <x v="0"/>
    <n v="3"/>
    <x v="2"/>
    <s v="Medium"/>
    <n v="440000"/>
    <s v="Low"/>
  </r>
  <r>
    <s v="Sanjeevini Nagar"/>
    <n v="2795"/>
    <x v="3"/>
    <n v="2"/>
    <x v="2"/>
    <s v="Large"/>
    <n v="2350000"/>
    <s v="High"/>
  </r>
  <r>
    <s v="Hulimavu"/>
    <n v="1125"/>
    <x v="0"/>
    <n v="2"/>
    <x v="0"/>
    <s v="Medium"/>
    <n v="500000"/>
    <s v="Low"/>
  </r>
  <r>
    <s v="Electronic City Phase II"/>
    <n v="1020"/>
    <x v="0"/>
    <n v="1"/>
    <x v="0"/>
    <s v="Medium"/>
    <n v="306000"/>
    <s v="Low"/>
  </r>
  <r>
    <s v="Kalena Agrahara"/>
    <n v="1200"/>
    <x v="0"/>
    <n v="2"/>
    <x v="0"/>
    <s v="Medium"/>
    <n v="500000"/>
    <s v="Low"/>
  </r>
  <r>
    <s v="Thanisandra"/>
    <n v="1735"/>
    <x v="2"/>
    <n v="3"/>
    <x v="2"/>
    <s v="Medium"/>
    <n v="1350000"/>
    <s v="High"/>
  </r>
  <r>
    <s v="Thanisandra"/>
    <n v="2050"/>
    <x v="2"/>
    <n v="1"/>
    <x v="2"/>
    <s v="Large"/>
    <n v="1450000"/>
    <s v="High"/>
  </r>
  <r>
    <s v="Mahalakshmi Layout"/>
    <n v="3750"/>
    <x v="3"/>
    <n v="0"/>
    <x v="1"/>
    <s v="Large"/>
    <n v="7600000"/>
    <s v="Luxury"/>
  </r>
  <r>
    <s v="Yarandahalli"/>
    <n v="1350"/>
    <x v="0"/>
    <n v="3"/>
    <x v="2"/>
    <s v="Medium"/>
    <n v="480000"/>
    <s v="Low"/>
  </r>
  <r>
    <s v="Hosa Road"/>
    <n v="1063"/>
    <x v="0"/>
    <n v="1"/>
    <x v="0"/>
    <s v="Medium"/>
    <n v="320000"/>
    <s v="Low"/>
  </r>
  <r>
    <s v="Keshava Nagar"/>
    <n v="1904"/>
    <x v="2"/>
    <n v="1"/>
    <x v="2"/>
    <s v="Medium"/>
    <n v="1500000"/>
    <s v="High"/>
  </r>
  <r>
    <s v="Whitefield"/>
    <n v="4200"/>
    <x v="3"/>
    <n v="2"/>
    <x v="1"/>
    <s v="Large"/>
    <n v="4200000"/>
    <s v="Luxury"/>
  </r>
  <r>
    <s v="RMV Extension"/>
    <n v="2000"/>
    <x v="2"/>
    <n v="1"/>
    <x v="2"/>
    <s v="Medium"/>
    <n v="1750000"/>
    <s v="High"/>
  </r>
  <r>
    <s v="Sarjapur"/>
    <n v="1559"/>
    <x v="0"/>
    <n v="0"/>
    <x v="0"/>
    <s v="Medium"/>
    <n v="434900"/>
    <s v="Low"/>
  </r>
  <r>
    <s v="Tejaswini Nagar"/>
    <n v="1425"/>
    <x v="0"/>
    <n v="2"/>
    <x v="2"/>
    <s v="Medium"/>
    <n v="750000"/>
    <s v="Medium"/>
  </r>
  <r>
    <s v="Electronic City"/>
    <n v="1500"/>
    <x v="0"/>
    <n v="1"/>
    <x v="2"/>
    <s v="Medium"/>
    <n v="645000"/>
    <s v="Medium"/>
  </r>
  <r>
    <s v="Electronic City"/>
    <n v="1060"/>
    <x v="0"/>
    <n v="1"/>
    <x v="0"/>
    <s v="Medium"/>
    <n v="600000"/>
    <s v="Medium"/>
  </r>
  <r>
    <s v="Jai Bheema Nagar"/>
    <n v="1470"/>
    <x v="0"/>
    <n v="2"/>
    <x v="2"/>
    <s v="Medium"/>
    <n v="700000"/>
    <s v="Medium"/>
  </r>
  <r>
    <s v="Kothnur Narayanapura"/>
    <n v="1300"/>
    <x v="4"/>
    <n v="0"/>
    <x v="3"/>
    <s v="Medium"/>
    <n v="990000"/>
    <s v="Medium"/>
  </r>
  <r>
    <s v="Attibele"/>
    <n v="450"/>
    <x v="5"/>
    <n v="1"/>
    <x v="4"/>
    <s v="Small"/>
    <n v="110000"/>
    <s v="Low"/>
  </r>
  <r>
    <s v="Electronic City"/>
    <n v="1152"/>
    <x v="0"/>
    <n v="1"/>
    <x v="0"/>
    <s v="Medium"/>
    <n v="645000"/>
    <s v="Medium"/>
  </r>
  <r>
    <s v="Electronic City"/>
    <n v="1350"/>
    <x v="0"/>
    <n v="1"/>
    <x v="2"/>
    <s v="Medium"/>
    <n v="560000"/>
    <s v="Medium"/>
  </r>
  <r>
    <s v="CV Raman Nagar"/>
    <n v="1550"/>
    <x v="2"/>
    <n v="3"/>
    <x v="2"/>
    <s v="Medium"/>
    <n v="650000"/>
    <s v="Medium"/>
  </r>
  <r>
    <s v="CHIKKATIRUPATHI"/>
    <n v="1500"/>
    <x v="2"/>
    <n v="2"/>
    <x v="2"/>
    <s v="Medium"/>
    <n v="1000000"/>
    <s v="Medium"/>
  </r>
  <r>
    <s v="Kumaraswami Layout"/>
    <n v="600"/>
    <x v="2"/>
    <n v="2"/>
    <x v="7"/>
    <s v="Small"/>
    <n v="850000"/>
    <s v="Medium"/>
  </r>
  <r>
    <s v="Nagavara"/>
    <n v="400"/>
    <x v="5"/>
    <n v="0"/>
    <x v="4"/>
    <s v="Small"/>
    <n v="140000"/>
    <s v="Low"/>
  </r>
  <r>
    <s v="Malleshwaram"/>
    <n v="705"/>
    <x v="5"/>
    <n v="2"/>
    <x v="4"/>
    <s v="Small"/>
    <n v="670000"/>
    <s v="Medium"/>
  </r>
  <r>
    <s v="Electronic City"/>
    <n v="770"/>
    <x v="5"/>
    <n v="1"/>
    <x v="0"/>
    <s v="Small"/>
    <n v="360000"/>
    <s v="Low"/>
  </r>
  <r>
    <s v="Hulimavu"/>
    <n v="1242"/>
    <x v="0"/>
    <n v="3"/>
    <x v="0"/>
    <s v="Medium"/>
    <n v="510000"/>
    <s v="Medium"/>
  </r>
  <r>
    <s v="Hebbal Kempapura"/>
    <n v="1700"/>
    <x v="2"/>
    <n v="2"/>
    <x v="2"/>
    <s v="Medium"/>
    <n v="1550000"/>
    <s v="High"/>
  </r>
  <r>
    <s v="Thanisandra"/>
    <n v="2144"/>
    <x v="2"/>
    <n v="2"/>
    <x v="2"/>
    <s v="Large"/>
    <n v="1450000"/>
    <s v="High"/>
  </r>
  <r>
    <s v="Vijayanagar"/>
    <n v="1704"/>
    <x v="2"/>
    <n v="2"/>
    <x v="2"/>
    <s v="Medium"/>
    <n v="1100000"/>
    <s v="High"/>
  </r>
  <r>
    <s v="Electronic City"/>
    <n v="1070"/>
    <x v="0"/>
    <n v="1"/>
    <x v="0"/>
    <s v="Medium"/>
    <n v="520000"/>
    <s v="Medium"/>
  </r>
  <r>
    <s v="8th block Koramangala"/>
    <n v="1846"/>
    <x v="2"/>
    <n v="2"/>
    <x v="2"/>
    <s v="Medium"/>
    <n v="3000000"/>
    <s v="High"/>
  </r>
  <r>
    <s v="Jakkuru Layout"/>
    <n v="1340"/>
    <x v="0"/>
    <n v="2"/>
    <x v="0"/>
    <s v="Medium"/>
    <n v="557000"/>
    <s v="Medium"/>
  </r>
  <r>
    <s v="Electronic City"/>
    <n v="1025"/>
    <x v="0"/>
    <n v="1"/>
    <x v="0"/>
    <s v="Medium"/>
    <n v="460000"/>
    <s v="Low"/>
  </r>
  <r>
    <s v="KR Puram"/>
    <n v="1559"/>
    <x v="0"/>
    <n v="0"/>
    <x v="0"/>
    <s v="Medium"/>
    <n v="568000"/>
    <s v="Medium"/>
  </r>
  <r>
    <s v="Marathahalli"/>
    <n v="1200"/>
    <x v="0"/>
    <n v="2"/>
    <x v="0"/>
    <s v="Medium"/>
    <n v="520000"/>
    <s v="Medium"/>
  </r>
  <r>
    <s v="Kanakpura Road"/>
    <n v="2250"/>
    <x v="3"/>
    <n v="1"/>
    <x v="1"/>
    <s v="Large"/>
    <n v="1100000"/>
    <s v="High"/>
  </r>
  <r>
    <s v="Pattandur Agrahara"/>
    <n v="1550"/>
    <x v="0"/>
    <n v="3"/>
    <x v="2"/>
    <s v="Medium"/>
    <n v="800000"/>
    <s v="Medium"/>
  </r>
  <r>
    <s v="Bellandur"/>
    <n v="1200"/>
    <x v="1"/>
    <n v="2"/>
    <x v="1"/>
    <s v="Medium"/>
    <n v="3250000"/>
    <s v="Luxury"/>
  </r>
  <r>
    <s v="Ejipura"/>
    <n v="1800"/>
    <x v="8"/>
    <n v="1"/>
    <x v="6"/>
    <s v="Medium"/>
    <n v="2500000"/>
    <s v="High"/>
  </r>
  <r>
    <s v="Marathahalli"/>
    <n v="1200"/>
    <x v="0"/>
    <n v="2"/>
    <x v="0"/>
    <s v="Medium"/>
    <n v="600000"/>
    <s v="Medium"/>
  </r>
  <r>
    <s v="Yelahanka"/>
    <n v="1327"/>
    <x v="0"/>
    <n v="2"/>
    <x v="0"/>
    <s v="Medium"/>
    <n v="980000"/>
    <s v="Medium"/>
  </r>
  <r>
    <s v="Kothanur"/>
    <n v="1186"/>
    <x v="0"/>
    <n v="2"/>
    <x v="0"/>
    <s v="Medium"/>
    <n v="580000"/>
    <s v="Medium"/>
  </r>
  <r>
    <s v="MS Pallya"/>
    <n v="1783"/>
    <x v="2"/>
    <n v="1"/>
    <x v="2"/>
    <s v="Medium"/>
    <n v="1150000"/>
    <s v="High"/>
  </r>
  <r>
    <s v="HSR Layout"/>
    <n v="1400"/>
    <x v="2"/>
    <n v="2"/>
    <x v="2"/>
    <s v="Medium"/>
    <n v="560000"/>
    <s v="Medium"/>
  </r>
  <r>
    <s v="Nagasandra"/>
    <n v="980"/>
    <x v="0"/>
    <n v="1"/>
    <x v="0"/>
    <s v="Small"/>
    <n v="480000"/>
    <s v="Low"/>
  </r>
  <r>
    <s v="EPIP Zone"/>
    <n v="1285"/>
    <x v="0"/>
    <n v="2"/>
    <x v="0"/>
    <s v="Medium"/>
    <n v="820000"/>
    <s v="Medium"/>
  </r>
  <r>
    <s v="Langford Town"/>
    <n v="912"/>
    <x v="0"/>
    <n v="1"/>
    <x v="2"/>
    <s v="Small"/>
    <n v="700000"/>
    <s v="Medium"/>
  </r>
  <r>
    <s v="Whitefield"/>
    <n v="1225"/>
    <x v="0"/>
    <n v="2"/>
    <x v="0"/>
    <s v="Medium"/>
    <n v="476000"/>
    <s v="Low"/>
  </r>
  <r>
    <s v="Whitefield"/>
    <n v="1075"/>
    <x v="0"/>
    <n v="1"/>
    <x v="0"/>
    <s v="Medium"/>
    <n v="530000"/>
    <s v="Medium"/>
  </r>
  <r>
    <s v="Kadugodi"/>
    <n v="1260"/>
    <x v="0"/>
    <n v="2"/>
    <x v="2"/>
    <s v="Medium"/>
    <n v="540000"/>
    <s v="Medium"/>
  </r>
  <r>
    <s v="Yelahanka"/>
    <n v="1282"/>
    <x v="0"/>
    <n v="2"/>
    <x v="2"/>
    <s v="Medium"/>
    <n v="487000"/>
    <s v="Low"/>
  </r>
  <r>
    <s v="Kogilu"/>
    <n v="1909"/>
    <x v="2"/>
    <n v="2"/>
    <x v="2"/>
    <s v="Medium"/>
    <n v="880000"/>
    <s v="Medium"/>
  </r>
  <r>
    <s v="Panathur"/>
    <n v="1359"/>
    <x v="0"/>
    <n v="1"/>
    <x v="0"/>
    <s v="Medium"/>
    <n v="870000"/>
    <s v="Medium"/>
  </r>
  <r>
    <s v="Nagondanahalli"/>
    <n v="1207"/>
    <x v="0"/>
    <n v="2"/>
    <x v="0"/>
    <s v="Medium"/>
    <n v="435000"/>
    <s v="Low"/>
  </r>
  <r>
    <s v="Padmanabhanagar"/>
    <n v="1736"/>
    <x v="4"/>
    <n v="0"/>
    <x v="1"/>
    <s v="Medium"/>
    <n v="1900000"/>
    <s v="High"/>
  </r>
  <r>
    <s v="1st Block Jayanagar"/>
    <n v="2850"/>
    <x v="3"/>
    <n v="1"/>
    <x v="1"/>
    <s v="Large"/>
    <n v="4280000"/>
    <s v="Luxury"/>
  </r>
  <r>
    <s v="Kammasandra"/>
    <n v="1595"/>
    <x v="2"/>
    <n v="2"/>
    <x v="2"/>
    <s v="Medium"/>
    <n v="650000"/>
    <s v="Medium"/>
  </r>
  <r>
    <s v="Off Sarjapur Road, "/>
    <n v="1798"/>
    <x v="2"/>
    <n v="2"/>
    <x v="2"/>
    <s v="Medium"/>
    <n v="890000"/>
    <s v="Medium"/>
  </r>
  <r>
    <s v="Electronics City Phase 1"/>
    <n v="1475"/>
    <x v="2"/>
    <n v="2"/>
    <x v="2"/>
    <s v="Medium"/>
    <n v="782900"/>
    <s v="Medium"/>
  </r>
  <r>
    <s v="Tala Cauvery Layout"/>
    <n v="1580"/>
    <x v="2"/>
    <n v="3"/>
    <x v="2"/>
    <s v="Medium"/>
    <n v="1000000"/>
    <s v="Medium"/>
  </r>
  <r>
    <s v="Dasarahalli"/>
    <n v="1295"/>
    <x v="0"/>
    <n v="1"/>
    <x v="0"/>
    <s v="Medium"/>
    <n v="650000"/>
    <s v="Medium"/>
  </r>
  <r>
    <s v="Magadi Road"/>
    <n v="3600"/>
    <x v="4"/>
    <n v="0"/>
    <x v="3"/>
    <s v="Large"/>
    <n v="1410000"/>
    <s v="High"/>
  </r>
  <r>
    <s v="Electronic City"/>
    <n v="589"/>
    <x v="5"/>
    <n v="1"/>
    <x v="4"/>
    <s v="Small"/>
    <n v="270000"/>
    <s v="Low"/>
  </r>
  <r>
    <s v="Ngef Layout"/>
    <n v="1415"/>
    <x v="2"/>
    <n v="3"/>
    <x v="2"/>
    <s v="Medium"/>
    <n v="780000"/>
    <s v="Medium"/>
  </r>
  <r>
    <s v="Sarjapur  Road"/>
    <n v="1787"/>
    <x v="2"/>
    <n v="2"/>
    <x v="2"/>
    <s v="Medium"/>
    <n v="982900"/>
    <s v="Medium"/>
  </r>
  <r>
    <s v="Sarjapur  Road"/>
    <n v="1787"/>
    <x v="2"/>
    <n v="2"/>
    <x v="2"/>
    <s v="Medium"/>
    <n v="1250000"/>
    <s v="High"/>
  </r>
  <r>
    <s v="Koramangala"/>
    <n v="1475"/>
    <x v="0"/>
    <n v="3"/>
    <x v="2"/>
    <s v="Medium"/>
    <n v="900000"/>
    <s v="Medium"/>
  </r>
  <r>
    <s v="Lakshminarayanapura, Electronic City Phase 2"/>
    <n v="2000"/>
    <x v="3"/>
    <n v="1"/>
    <x v="1"/>
    <s v="Medium"/>
    <n v="755000"/>
    <s v="Medium"/>
  </r>
  <r>
    <s v="Sarjapur  Road"/>
    <n v="984"/>
    <x v="0"/>
    <n v="1"/>
    <x v="0"/>
    <s v="Small"/>
    <n v="442800"/>
    <s v="Low"/>
  </r>
  <r>
    <s v="Devanahalli"/>
    <n v="1559"/>
    <x v="0"/>
    <n v="2"/>
    <x v="2"/>
    <s v="Medium"/>
    <n v="748200"/>
    <s v="Medium"/>
  </r>
  <r>
    <s v="Muthurayya Swamy Layout"/>
    <n v="2405"/>
    <x v="3"/>
    <n v="2"/>
    <x v="2"/>
    <s v="Large"/>
    <n v="2600000"/>
    <s v="High"/>
  </r>
  <r>
    <s v="7th Phase JP Nagar"/>
    <n v="1080"/>
    <x v="0"/>
    <n v="2"/>
    <x v="0"/>
    <s v="Medium"/>
    <n v="720000"/>
    <s v="Medium"/>
  </r>
  <r>
    <s v="Shantiniketan Layout"/>
    <n v="1500"/>
    <x v="0"/>
    <n v="1"/>
    <x v="0"/>
    <s v="Medium"/>
    <n v="1150000"/>
    <s v="High"/>
  </r>
  <r>
    <s v="Hebbal"/>
    <n v="1900"/>
    <x v="2"/>
    <n v="2"/>
    <x v="2"/>
    <s v="Medium"/>
    <n v="1190000"/>
    <s v="High"/>
  </r>
  <r>
    <s v="Dommasandra"/>
    <n v="805"/>
    <x v="0"/>
    <n v="1"/>
    <x v="0"/>
    <s v="Small"/>
    <n v="221400"/>
    <s v="Low"/>
  </r>
  <r>
    <s v="Budigere"/>
    <n v="1153"/>
    <x v="0"/>
    <n v="2"/>
    <x v="0"/>
    <s v="Medium"/>
    <n v="564000"/>
    <s v="Medium"/>
  </r>
  <r>
    <s v="Dodda Nekkundi Extension"/>
    <n v="1148"/>
    <x v="0"/>
    <n v="2"/>
    <x v="0"/>
    <s v="Medium"/>
    <n v="600000"/>
    <s v="Medium"/>
  </r>
  <r>
    <s v="Mylasandra"/>
    <n v="1110"/>
    <x v="0"/>
    <n v="2"/>
    <x v="0"/>
    <s v="Medium"/>
    <n v="550000"/>
    <s v="Medium"/>
  </r>
  <r>
    <s v="Electronic City"/>
    <n v="1100"/>
    <x v="0"/>
    <n v="2"/>
    <x v="0"/>
    <s v="Medium"/>
    <n v="420000"/>
    <s v="Low"/>
  </r>
  <r>
    <s v="Kalyan nagar"/>
    <n v="1290"/>
    <x v="0"/>
    <n v="2"/>
    <x v="0"/>
    <s v="Medium"/>
    <n v="1100000"/>
    <s v="High"/>
  </r>
  <r>
    <s v="Dr Shivarama Karantha Nagar"/>
    <n v="1500"/>
    <x v="0"/>
    <n v="1"/>
    <x v="2"/>
    <s v="Medium"/>
    <n v="650000"/>
    <s v="Medium"/>
  </r>
  <r>
    <s v="Bank Of Baroda Colony"/>
    <n v="1080"/>
    <x v="0"/>
    <n v="2"/>
    <x v="0"/>
    <s v="Medium"/>
    <n v="390000"/>
    <s v="Low"/>
  </r>
  <r>
    <s v="Vijayanagar"/>
    <n v="1933"/>
    <x v="2"/>
    <n v="1"/>
    <x v="2"/>
    <s v="Medium"/>
    <n v="1290000"/>
    <s v="High"/>
  </r>
  <r>
    <s v="Ramamurthy Nagar"/>
    <n v="3500"/>
    <x v="1"/>
    <n v="2"/>
    <x v="7"/>
    <s v="Large"/>
    <n v="1500000"/>
    <s v="High"/>
  </r>
  <r>
    <s v="Kullappa Colony"/>
    <n v="1060"/>
    <x v="0"/>
    <n v="2"/>
    <x v="0"/>
    <s v="Medium"/>
    <n v="600000"/>
    <s v="Medium"/>
  </r>
  <r>
    <s v="Chandapura"/>
    <n v="645"/>
    <x v="5"/>
    <n v="1"/>
    <x v="4"/>
    <s v="Small"/>
    <n v="164500"/>
    <s v="Low"/>
  </r>
  <r>
    <s v="Mukkutam Nagar"/>
    <n v="2600"/>
    <x v="7"/>
    <n v="2"/>
    <x v="5"/>
    <s v="Large"/>
    <n v="1800000"/>
    <s v="High"/>
  </r>
  <r>
    <s v="Chandapura"/>
    <n v="645"/>
    <x v="5"/>
    <n v="1"/>
    <x v="4"/>
    <s v="Small"/>
    <n v="164500"/>
    <s v="Low"/>
  </r>
  <r>
    <s v="Ashwath Nagar"/>
    <n v="1644"/>
    <x v="2"/>
    <n v="3"/>
    <x v="2"/>
    <s v="Medium"/>
    <n v="840000"/>
    <s v="Medium"/>
  </r>
  <r>
    <s v="Ncpr Industrial Layout"/>
    <n v="1285"/>
    <x v="0"/>
    <n v="3"/>
    <x v="0"/>
    <s v="Medium"/>
    <n v="725000"/>
    <s v="Medium"/>
  </r>
  <r>
    <s v="Electronic City"/>
    <n v="1200"/>
    <x v="2"/>
    <n v="1"/>
    <x v="2"/>
    <s v="Medium"/>
    <n v="900000"/>
    <s v="Medium"/>
  </r>
  <r>
    <s v="Electronic City"/>
    <n v="910"/>
    <x v="0"/>
    <n v="1"/>
    <x v="0"/>
    <s v="Small"/>
    <n v="400000"/>
    <s v="Low"/>
  </r>
  <r>
    <s v="Kothanur"/>
    <n v="1577"/>
    <x v="2"/>
    <n v="1"/>
    <x v="2"/>
    <s v="Medium"/>
    <n v="700000"/>
    <s v="Medium"/>
  </r>
  <r>
    <s v="Meenakunte"/>
    <n v="4050"/>
    <x v="2"/>
    <n v="2"/>
    <x v="2"/>
    <s v="Large"/>
    <n v="2800000"/>
    <s v="High"/>
  </r>
  <r>
    <s v="OMBR Layout"/>
    <n v="2420"/>
    <x v="2"/>
    <n v="2"/>
    <x v="2"/>
    <s v="Large"/>
    <n v="1850000"/>
    <s v="High"/>
  </r>
  <r>
    <s v="Chandapura"/>
    <n v="800"/>
    <x v="5"/>
    <n v="1"/>
    <x v="0"/>
    <s v="Small"/>
    <n v="200000"/>
    <s v="Low"/>
  </r>
  <r>
    <s v="Anand Nagar"/>
    <n v="1060"/>
    <x v="0"/>
    <n v="2"/>
    <x v="0"/>
    <s v="Medium"/>
    <n v="550000"/>
    <s v="Medium"/>
  </r>
  <r>
    <s v="7th Phase JP Nagar"/>
    <n v="1270"/>
    <x v="0"/>
    <n v="2"/>
    <x v="0"/>
    <s v="Medium"/>
    <n v="930000"/>
    <s v="Medium"/>
  </r>
  <r>
    <s v="Shree Ananth Nagar Layout"/>
    <n v="900"/>
    <x v="0"/>
    <n v="2"/>
    <x v="0"/>
    <s v="Small"/>
    <n v="225000"/>
    <s v="Low"/>
  </r>
  <r>
    <s v="Kundalahalli Colony"/>
    <n v="1280"/>
    <x v="0"/>
    <n v="1"/>
    <x v="0"/>
    <s v="Medium"/>
    <n v="690000"/>
    <s v="Medium"/>
  </r>
  <r>
    <s v="Horamavu Agara"/>
    <n v="1200"/>
    <x v="0"/>
    <n v="0"/>
    <x v="1"/>
    <s v="Medium"/>
    <n v="950000"/>
    <s v="Medium"/>
  </r>
  <r>
    <s v="Sarjapur  Road"/>
    <n v="1025"/>
    <x v="0"/>
    <n v="2"/>
    <x v="0"/>
    <s v="Medium"/>
    <n v="360000"/>
    <s v="Low"/>
  </r>
  <r>
    <s v="Electronic City"/>
    <n v="1108"/>
    <x v="0"/>
    <n v="1"/>
    <x v="0"/>
    <s v="Medium"/>
    <n v="630000"/>
    <s v="Medium"/>
  </r>
  <r>
    <s v="MCECHS  layout"/>
    <n v="1200"/>
    <x v="1"/>
    <n v="2"/>
    <x v="7"/>
    <s v="Medium"/>
    <n v="1700000"/>
    <s v="High"/>
  </r>
  <r>
    <s v="Coffee Board Layout"/>
    <n v="3045"/>
    <x v="2"/>
    <n v="2"/>
    <x v="2"/>
    <s v="Large"/>
    <n v="1700000"/>
    <s v="High"/>
  </r>
  <r>
    <s v="Ambedkar Nagar"/>
    <n v="2900"/>
    <x v="2"/>
    <n v="2"/>
    <x v="1"/>
    <s v="Large"/>
    <n v="3000000"/>
    <s v="High"/>
  </r>
  <r>
    <s v="Vijayanagar"/>
    <n v="1500"/>
    <x v="2"/>
    <n v="2"/>
    <x v="2"/>
    <s v="Medium"/>
    <n v="755000"/>
    <s v="Medium"/>
  </r>
  <r>
    <s v="Raja Rajeshwari Nagar"/>
    <n v="1295"/>
    <x v="0"/>
    <n v="2"/>
    <x v="0"/>
    <s v="Medium"/>
    <n v="439000"/>
    <s v="Low"/>
  </r>
  <r>
    <s v="Budigere"/>
    <n v="1162"/>
    <x v="0"/>
    <n v="1"/>
    <x v="0"/>
    <s v="Medium"/>
    <n v="599000"/>
    <s v="Medium"/>
  </r>
  <r>
    <s v="Sarjapur  Road"/>
    <n v="1035"/>
    <x v="0"/>
    <n v="2"/>
    <x v="0"/>
    <s v="Medium"/>
    <n v="492000"/>
    <s v="Low"/>
  </r>
  <r>
    <s v="Attibele"/>
    <n v="1600"/>
    <x v="3"/>
    <n v="0"/>
    <x v="1"/>
    <s v="Medium"/>
    <n v="528000"/>
    <s v="Medium"/>
  </r>
  <r>
    <s v="KUDLU MAIN ROAD"/>
    <n v="1464"/>
    <x v="2"/>
    <n v="2"/>
    <x v="2"/>
    <s v="Medium"/>
    <n v="460000"/>
    <s v="Low"/>
  </r>
  <r>
    <s v="Hennur Road"/>
    <n v="1866"/>
    <x v="0"/>
    <n v="2"/>
    <x v="2"/>
    <s v="Medium"/>
    <n v="615800"/>
    <s v="Medium"/>
  </r>
  <r>
    <s v="Geleyara Balaga Layout"/>
    <n v="700"/>
    <x v="5"/>
    <n v="1"/>
    <x v="0"/>
    <s v="Small"/>
    <n v="260000"/>
    <s v="Low"/>
  </r>
  <r>
    <s v="Kalena Agrahara"/>
    <n v="1804"/>
    <x v="2"/>
    <n v="2"/>
    <x v="2"/>
    <s v="Medium"/>
    <n v="1200000"/>
    <s v="High"/>
  </r>
  <r>
    <s v="Sarjapur"/>
    <n v="913"/>
    <x v="0"/>
    <n v="1"/>
    <x v="0"/>
    <s v="Small"/>
    <n v="320000"/>
    <s v="Low"/>
  </r>
  <r>
    <s v="Talaghattapura"/>
    <n v="1868"/>
    <x v="2"/>
    <n v="2"/>
    <x v="2"/>
    <s v="Medium"/>
    <n v="1310000"/>
    <s v="High"/>
  </r>
  <r>
    <s v="Kengeri Satellite Town"/>
    <n v="883"/>
    <x v="0"/>
    <n v="1"/>
    <x v="0"/>
    <s v="Small"/>
    <n v="450000"/>
    <s v="Low"/>
  </r>
  <r>
    <s v="Sundara Nagar"/>
    <n v="900"/>
    <x v="0"/>
    <n v="1"/>
    <x v="0"/>
    <s v="Small"/>
    <n v="1100000"/>
    <s v="High"/>
  </r>
  <r>
    <s v="Kogilu"/>
    <n v="1664"/>
    <x v="0"/>
    <n v="3"/>
    <x v="2"/>
    <s v="Medium"/>
    <n v="739500"/>
    <s v="Medium"/>
  </r>
  <r>
    <s v="Hegde Nagar"/>
    <n v="2026"/>
    <x v="2"/>
    <n v="2"/>
    <x v="2"/>
    <s v="Large"/>
    <n v="1320000"/>
    <s v="High"/>
  </r>
  <r>
    <s v="Balagere"/>
    <n v="1210"/>
    <x v="0"/>
    <n v="1"/>
    <x v="0"/>
    <s v="Medium"/>
    <n v="809000"/>
    <s v="Medium"/>
  </r>
  <r>
    <s v="Meenakunte"/>
    <n v="4111"/>
    <x v="3"/>
    <n v="2"/>
    <x v="1"/>
    <s v="Large"/>
    <n v="2500000"/>
    <s v="High"/>
  </r>
  <r>
    <s v="Kadugodi"/>
    <n v="1762"/>
    <x v="2"/>
    <n v="3"/>
    <x v="2"/>
    <s v="Medium"/>
    <n v="914500"/>
    <s v="Medium"/>
  </r>
  <r>
    <s v="Jigani"/>
    <n v="1252"/>
    <x v="2"/>
    <n v="3"/>
    <x v="2"/>
    <s v="Medium"/>
    <n v="550000"/>
    <s v="Medium"/>
  </r>
  <r>
    <s v="Gollarapalya Hosahalli"/>
    <n v="861"/>
    <x v="0"/>
    <n v="1"/>
    <x v="0"/>
    <s v="Small"/>
    <n v="345000"/>
    <s v="Low"/>
  </r>
  <r>
    <s v="7th Phase JP Nagar"/>
    <n v="1420"/>
    <x v="0"/>
    <n v="1"/>
    <x v="2"/>
    <s v="Medium"/>
    <n v="1000000"/>
    <s v="Medium"/>
  </r>
  <r>
    <s v="Srirampura"/>
    <n v="1450"/>
    <x v="4"/>
    <n v="0"/>
    <x v="3"/>
    <s v="Medium"/>
    <n v="2500000"/>
    <s v="High"/>
  </r>
  <r>
    <s v="Electronics City Phase 1"/>
    <n v="1490"/>
    <x v="2"/>
    <n v="1"/>
    <x v="2"/>
    <s v="Medium"/>
    <n v="788000"/>
    <s v="Medium"/>
  </r>
  <r>
    <s v="Bisuvanahalli"/>
    <n v="1075"/>
    <x v="0"/>
    <n v="1"/>
    <x v="2"/>
    <s v="Medium"/>
    <n v="460000"/>
    <s v="Low"/>
  </r>
  <r>
    <s v="Old Madras Road"/>
    <n v="1425"/>
    <x v="0"/>
    <n v="2"/>
    <x v="2"/>
    <s v="Medium"/>
    <n v="940000"/>
    <s v="Medium"/>
  </r>
  <r>
    <s v="Kalena Agrahara"/>
    <n v="1200"/>
    <x v="0"/>
    <n v="1"/>
    <x v="0"/>
    <s v="Medium"/>
    <n v="400000"/>
    <s v="Low"/>
  </r>
  <r>
    <s v="Kaggadasapura"/>
    <n v="1280"/>
    <x v="0"/>
    <n v="2"/>
    <x v="2"/>
    <s v="Medium"/>
    <n v="560000"/>
    <s v="Medium"/>
  </r>
  <r>
    <s v="Silver Springs Layout"/>
    <n v="1084"/>
    <x v="0"/>
    <n v="2"/>
    <x v="0"/>
    <s v="Medium"/>
    <n v="500000"/>
    <s v="Low"/>
  </r>
  <r>
    <s v="Chandapura"/>
    <n v="1015"/>
    <x v="0"/>
    <n v="2"/>
    <x v="0"/>
    <s v="Medium"/>
    <n v="258800"/>
    <s v="Low"/>
  </r>
  <r>
    <s v="Kanakpura Road"/>
    <n v="1017"/>
    <x v="0"/>
    <n v="1"/>
    <x v="0"/>
    <s v="Medium"/>
    <n v="512500"/>
    <s v="Medium"/>
  </r>
  <r>
    <s v="Haralur Road"/>
    <n v="1027"/>
    <x v="0"/>
    <n v="2"/>
    <x v="0"/>
    <s v="Medium"/>
    <n v="440000"/>
    <s v="Low"/>
  </r>
  <r>
    <s v="Electronic City Phase II"/>
    <n v="1069"/>
    <x v="0"/>
    <n v="2"/>
    <x v="0"/>
    <s v="Medium"/>
    <n v="450000"/>
    <s v="Low"/>
  </r>
  <r>
    <s v="Hebbal"/>
    <n v="1349"/>
    <x v="0"/>
    <n v="1"/>
    <x v="0"/>
    <s v="Medium"/>
    <n v="982000"/>
    <s v="Medium"/>
  </r>
  <r>
    <s v="9th Phase JP Nagar"/>
    <n v="1005"/>
    <x v="0"/>
    <n v="1"/>
    <x v="0"/>
    <s v="Medium"/>
    <n v="500000"/>
    <s v="Low"/>
  </r>
  <r>
    <s v="Jakkur"/>
    <n v="1417"/>
    <x v="0"/>
    <n v="3"/>
    <x v="0"/>
    <s v="Medium"/>
    <n v="750000"/>
    <s v="Medium"/>
  </r>
  <r>
    <s v="TC Palaya"/>
    <n v="1475"/>
    <x v="2"/>
    <n v="1"/>
    <x v="2"/>
    <s v="Medium"/>
    <n v="980000"/>
    <s v="Medium"/>
  </r>
  <r>
    <s v="Maruthi Sevanagar"/>
    <n v="950"/>
    <x v="0"/>
    <n v="2"/>
    <x v="0"/>
    <s v="Small"/>
    <n v="470000"/>
    <s v="Low"/>
  </r>
  <r>
    <s v="RMV 2nd Stage"/>
    <n v="2000"/>
    <x v="3"/>
    <n v="0"/>
    <x v="1"/>
    <s v="Medium"/>
    <n v="1200000"/>
    <s v="High"/>
  </r>
  <r>
    <s v="FARLAHM"/>
    <n v="880"/>
    <x v="2"/>
    <n v="1"/>
    <x v="2"/>
    <s v="Small"/>
    <n v="1400000"/>
    <s v="High"/>
  </r>
  <r>
    <s v="Sarjapur  Road"/>
    <n v="1863"/>
    <x v="2"/>
    <n v="2"/>
    <x v="1"/>
    <s v="Medium"/>
    <n v="1040000"/>
    <s v="High"/>
  </r>
  <r>
    <s v="Singasandra"/>
    <n v="1010"/>
    <x v="0"/>
    <n v="1"/>
    <x v="0"/>
    <s v="Medium"/>
    <n v="295000"/>
    <s v="Low"/>
  </r>
  <r>
    <s v="Kalena Agrahara"/>
    <n v="1425"/>
    <x v="0"/>
    <n v="1"/>
    <x v="2"/>
    <s v="Medium"/>
    <n v="700000"/>
    <s v="Medium"/>
  </r>
  <r>
    <s v="Vijayanagar"/>
    <n v="1450"/>
    <x v="2"/>
    <n v="0"/>
    <x v="2"/>
    <s v="Medium"/>
    <n v="1000000"/>
    <s v="Medium"/>
  </r>
  <r>
    <s v="Kothanur"/>
    <n v="1847"/>
    <x v="2"/>
    <n v="2"/>
    <x v="2"/>
    <s v="Medium"/>
    <n v="1050000"/>
    <s v="High"/>
  </r>
  <r>
    <s v="AECS Layout"/>
    <n v="1100"/>
    <x v="0"/>
    <n v="3"/>
    <x v="0"/>
    <s v="Medium"/>
    <n v="450000"/>
    <s v="Low"/>
  </r>
  <r>
    <s v="Kanakpura Road"/>
    <n v="525"/>
    <x v="5"/>
    <n v="1"/>
    <x v="4"/>
    <s v="Small"/>
    <n v="260000"/>
    <s v="Low"/>
  </r>
  <r>
    <s v="Mallasandra"/>
    <n v="1665"/>
    <x v="2"/>
    <n v="2"/>
    <x v="2"/>
    <s v="Medium"/>
    <n v="950000"/>
    <s v="Medium"/>
  </r>
  <r>
    <s v="Begur"/>
    <n v="1664"/>
    <x v="3"/>
    <n v="3"/>
    <x v="1"/>
    <s v="Medium"/>
    <n v="650000"/>
    <s v="Medium"/>
  </r>
  <r>
    <s v="JP Nagar"/>
    <n v="1850"/>
    <x v="2"/>
    <n v="3"/>
    <x v="2"/>
    <s v="Medium"/>
    <n v="1500000"/>
    <s v="High"/>
  </r>
  <r>
    <s v="Panathur"/>
    <n v="1438"/>
    <x v="0"/>
    <n v="3"/>
    <x v="0"/>
    <s v="Medium"/>
    <n v="1000000"/>
    <s v="Medium"/>
  </r>
  <r>
    <s v="Sunder Ram Shetty Nagar"/>
    <n v="1560"/>
    <x v="2"/>
    <n v="3"/>
    <x v="2"/>
    <s v="Medium"/>
    <n v="1150000"/>
    <s v="High"/>
  </r>
  <r>
    <s v="Yelahanka"/>
    <n v="1350"/>
    <x v="0"/>
    <n v="1"/>
    <x v="0"/>
    <s v="Medium"/>
    <n v="555500"/>
    <s v="Medium"/>
  </r>
  <r>
    <s v="Kanakpura Road"/>
    <n v="1550"/>
    <x v="2"/>
    <n v="3"/>
    <x v="2"/>
    <s v="Medium"/>
    <n v="670000"/>
    <s v="Medium"/>
  </r>
  <r>
    <s v="Malleshpalya"/>
    <n v="1140"/>
    <x v="0"/>
    <n v="2"/>
    <x v="0"/>
    <s v="Medium"/>
    <n v="465000"/>
    <s v="Low"/>
  </r>
  <r>
    <s v="Srirampura"/>
    <n v="1200"/>
    <x v="1"/>
    <n v="2"/>
    <x v="7"/>
    <s v="Medium"/>
    <n v="1800000"/>
    <s v="High"/>
  </r>
  <r>
    <s v="Kodathi"/>
    <n v="850"/>
    <x v="0"/>
    <n v="2"/>
    <x v="0"/>
    <s v="Small"/>
    <n v="270000"/>
    <s v="Low"/>
  </r>
  <r>
    <s v="Whitefield"/>
    <n v="1280"/>
    <x v="0"/>
    <n v="2"/>
    <x v="0"/>
    <s v="Medium"/>
    <n v="750000"/>
    <s v="Medium"/>
  </r>
  <r>
    <s v="Munnekollal"/>
    <n v="1170"/>
    <x v="0"/>
    <n v="2"/>
    <x v="0"/>
    <s v="Medium"/>
    <n v="520000"/>
    <s v="Medium"/>
  </r>
  <r>
    <s v="Motappa Layout"/>
    <n v="1113"/>
    <x v="0"/>
    <n v="1"/>
    <x v="0"/>
    <s v="Medium"/>
    <n v="510000"/>
    <s v="Medium"/>
  </r>
  <r>
    <s v="Hennur Road"/>
    <n v="1385"/>
    <x v="0"/>
    <n v="1"/>
    <x v="0"/>
    <s v="Medium"/>
    <n v="830900"/>
    <s v="Medium"/>
  </r>
  <r>
    <s v="Electronic City"/>
    <n v="1128"/>
    <x v="0"/>
    <n v="1"/>
    <x v="0"/>
    <s v="Medium"/>
    <n v="650000"/>
    <s v="Medium"/>
  </r>
  <r>
    <s v="Marathahalli"/>
    <n v="1200"/>
    <x v="0"/>
    <n v="2"/>
    <x v="0"/>
    <s v="Medium"/>
    <n v="1280000"/>
    <s v="High"/>
  </r>
  <r>
    <s v="Akshaya Vana"/>
    <n v="1200"/>
    <x v="3"/>
    <n v="3"/>
    <x v="1"/>
    <s v="Medium"/>
    <n v="1650000"/>
    <s v="High"/>
  </r>
  <r>
    <s v="Rajaji Nagar"/>
    <n v="2390"/>
    <x v="2"/>
    <n v="2"/>
    <x v="2"/>
    <s v="Large"/>
    <n v="4150000"/>
    <s v="Luxury"/>
  </r>
  <r>
    <s v="FARLAHM"/>
    <n v="2400"/>
    <x v="3"/>
    <n v="1"/>
    <x v="1"/>
    <s v="Large"/>
    <n v="4000000"/>
    <s v="Luxury"/>
  </r>
  <r>
    <s v="Haralur Road"/>
    <n v="1464"/>
    <x v="2"/>
    <n v="2"/>
    <x v="2"/>
    <s v="Medium"/>
    <n v="560000"/>
    <s v="Medium"/>
  </r>
  <r>
    <s v="Manayata Tech Park"/>
    <n v="1200"/>
    <x v="0"/>
    <n v="2"/>
    <x v="0"/>
    <s v="Medium"/>
    <n v="550000"/>
    <s v="Medium"/>
  </r>
  <r>
    <s v="Kaval Byrasandra"/>
    <n v="1200"/>
    <x v="0"/>
    <n v="2"/>
    <x v="0"/>
    <s v="Medium"/>
    <n v="520000"/>
    <s v="Medium"/>
  </r>
  <r>
    <s v="Kaggalipura"/>
    <n v="1150"/>
    <x v="0"/>
    <n v="1"/>
    <x v="2"/>
    <s v="Medium"/>
    <n v="550000"/>
    <s v="Medium"/>
  </r>
  <r>
    <s v="Basavanna Nagar"/>
    <n v="1645"/>
    <x v="2"/>
    <n v="2"/>
    <x v="2"/>
    <s v="Medium"/>
    <n v="950000"/>
    <s v="Medium"/>
  </r>
  <r>
    <s v="Sarjapur  Road"/>
    <n v="1000"/>
    <x v="0"/>
    <n v="1"/>
    <x v="0"/>
    <s v="Small"/>
    <n v="670000"/>
    <s v="Medium"/>
  </r>
  <r>
    <s v="Haralur Road"/>
    <n v="2650"/>
    <x v="3"/>
    <n v="2"/>
    <x v="1"/>
    <s v="Large"/>
    <n v="1980000"/>
    <s v="High"/>
  </r>
  <r>
    <s v="6th Phase JP Nagar"/>
    <n v="1192"/>
    <x v="0"/>
    <n v="2"/>
    <x v="0"/>
    <s v="Medium"/>
    <n v="740000"/>
    <s v="Medium"/>
  </r>
  <r>
    <s v="Ulsoor"/>
    <n v="2135"/>
    <x v="2"/>
    <n v="2"/>
    <x v="2"/>
    <s v="Large"/>
    <n v="2150000"/>
    <s v="High"/>
  </r>
  <r>
    <s v="Whitefield"/>
    <n v="1173"/>
    <x v="0"/>
    <n v="1"/>
    <x v="0"/>
    <s v="Medium"/>
    <n v="580000"/>
    <s v="Medium"/>
  </r>
  <r>
    <s v="Uttarahalli"/>
    <n v="1020"/>
    <x v="0"/>
    <n v="2"/>
    <x v="0"/>
    <s v="Medium"/>
    <n v="450000"/>
    <s v="Low"/>
  </r>
  <r>
    <s v="Thigalarapalya"/>
    <n v="3122"/>
    <x v="4"/>
    <n v="2"/>
    <x v="1"/>
    <s v="Large"/>
    <n v="2300000"/>
    <s v="High"/>
  </r>
  <r>
    <s v="Somasundara Palya"/>
    <n v="1600"/>
    <x v="2"/>
    <n v="3"/>
    <x v="2"/>
    <s v="Medium"/>
    <n v="640000"/>
    <s v="Medium"/>
  </r>
  <r>
    <s v="T.C PALYA"/>
    <n v="1200"/>
    <x v="0"/>
    <n v="0"/>
    <x v="0"/>
    <s v="Medium"/>
    <n v="790000"/>
    <s v="Medium"/>
  </r>
  <r>
    <s v="Muneshwara Nagar"/>
    <n v="1230"/>
    <x v="0"/>
    <n v="3"/>
    <x v="0"/>
    <s v="Medium"/>
    <n v="480000"/>
    <s v="Low"/>
  </r>
  <r>
    <s v="Devarachikkanahalli"/>
    <n v="1250"/>
    <x v="0"/>
    <n v="2"/>
    <x v="0"/>
    <s v="Medium"/>
    <n v="400000"/>
    <s v="Low"/>
  </r>
  <r>
    <s v="Kalena Agrahara"/>
    <n v="1325"/>
    <x v="0"/>
    <n v="2"/>
    <x v="0"/>
    <s v="Medium"/>
    <n v="760000"/>
    <s v="Medium"/>
  </r>
  <r>
    <s v="7th Phase JP Nagar"/>
    <n v="1850"/>
    <x v="2"/>
    <n v="1"/>
    <x v="2"/>
    <s v="Medium"/>
    <n v="1500000"/>
    <s v="High"/>
  </r>
  <r>
    <s v="Kanakpura Road"/>
    <n v="525"/>
    <x v="0"/>
    <n v="2"/>
    <x v="4"/>
    <s v="Small"/>
    <n v="215300"/>
    <s v="Low"/>
  </r>
  <r>
    <s v="Basaveshwara Nagar"/>
    <n v="1200"/>
    <x v="0"/>
    <n v="2"/>
    <x v="0"/>
    <s v="Medium"/>
    <n v="650000"/>
    <s v="Medium"/>
  </r>
  <r>
    <s v="Bull Temple Road"/>
    <n v="1350"/>
    <x v="0"/>
    <n v="0"/>
    <x v="2"/>
    <s v="Medium"/>
    <n v="1400000"/>
    <s v="High"/>
  </r>
  <r>
    <s v="Bommasandra"/>
    <n v="1260"/>
    <x v="2"/>
    <n v="1"/>
    <x v="2"/>
    <s v="Medium"/>
    <n v="493600"/>
    <s v="Low"/>
  </r>
  <r>
    <s v="Prashanth Nagar"/>
    <n v="1800"/>
    <x v="2"/>
    <n v="0"/>
    <x v="2"/>
    <s v="Medium"/>
    <n v="1500000"/>
    <s v="High"/>
  </r>
  <r>
    <s v="Suragajakkanahalli"/>
    <n v="11"/>
    <x v="2"/>
    <n v="2"/>
    <x v="2"/>
    <s v="Small"/>
    <n v="740000"/>
    <s v="Medium"/>
  </r>
  <r>
    <s v="Ardendale"/>
    <n v="1100"/>
    <x v="0"/>
    <n v="1"/>
    <x v="0"/>
    <s v="Medium"/>
    <n v="432500"/>
    <s v="Low"/>
  </r>
  <r>
    <s v="Harlur"/>
    <n v="1508"/>
    <x v="0"/>
    <n v="1"/>
    <x v="0"/>
    <s v="Medium"/>
    <n v="770000"/>
    <s v="Medium"/>
  </r>
  <r>
    <s v="Sampigehalli"/>
    <n v="1592"/>
    <x v="2"/>
    <n v="2"/>
    <x v="2"/>
    <s v="Medium"/>
    <n v="750000"/>
    <s v="Medium"/>
  </r>
  <r>
    <s v="Akshaya Nagar"/>
    <n v="1388"/>
    <x v="0"/>
    <n v="3"/>
    <x v="0"/>
    <s v="Medium"/>
    <n v="570000"/>
    <s v="Medium"/>
  </r>
  <r>
    <s v="Electronic City Phase II"/>
    <n v="630"/>
    <x v="5"/>
    <n v="1"/>
    <x v="4"/>
    <s v="Small"/>
    <n v="283500"/>
    <s v="Low"/>
  </r>
  <r>
    <s v="RMV"/>
    <n v="2000"/>
    <x v="2"/>
    <n v="2"/>
    <x v="2"/>
    <s v="Medium"/>
    <n v="3650000"/>
    <s v="Luxury"/>
  </r>
  <r>
    <s v="Banashankari3rd stage bigbazar"/>
    <n v="1762"/>
    <x v="2"/>
    <n v="1"/>
    <x v="2"/>
    <s v="Medium"/>
    <n v="1250000"/>
    <s v="High"/>
  </r>
  <r>
    <s v="Bagalur Main Road"/>
    <n v="950"/>
    <x v="0"/>
    <n v="2"/>
    <x v="0"/>
    <s v="Small"/>
    <n v="500000"/>
    <s v="Low"/>
  </r>
  <r>
    <s v="Kodihalli"/>
    <n v="3252"/>
    <x v="1"/>
    <n v="3"/>
    <x v="1"/>
    <s v="Large"/>
    <n v="3350000"/>
    <s v="Luxury"/>
  </r>
  <r>
    <s v="Magadi Road"/>
    <n v="1116"/>
    <x v="0"/>
    <n v="1"/>
    <x v="0"/>
    <s v="Medium"/>
    <n v="500000"/>
    <s v="Low"/>
  </r>
  <r>
    <s v="Narayanapura"/>
    <n v="1308"/>
    <x v="0"/>
    <n v="2"/>
    <x v="0"/>
    <s v="Medium"/>
    <n v="890400"/>
    <s v="Medium"/>
  </r>
  <r>
    <s v="MS Pallya"/>
    <n v="1200"/>
    <x v="2"/>
    <n v="0"/>
    <x v="2"/>
    <s v="Medium"/>
    <n v="900000"/>
    <s v="Medium"/>
  </r>
  <r>
    <s v="Binny Mills Employees Colony"/>
    <n v="1500"/>
    <x v="3"/>
    <n v="2"/>
    <x v="1"/>
    <s v="Medium"/>
    <n v="2300000"/>
    <s v="High"/>
  </r>
  <r>
    <s v="Bannerghatta Road"/>
    <n v="500"/>
    <x v="5"/>
    <n v="1"/>
    <x v="4"/>
    <s v="Small"/>
    <n v="185000"/>
    <s v="Low"/>
  </r>
  <r>
    <s v="Hennur"/>
    <n v="1075"/>
    <x v="0"/>
    <n v="1"/>
    <x v="0"/>
    <s v="Medium"/>
    <n v="520000"/>
    <s v="Medium"/>
  </r>
  <r>
    <s v="Chandapura"/>
    <n v="530"/>
    <x v="5"/>
    <n v="0"/>
    <x v="4"/>
    <s v="Small"/>
    <n v="116600"/>
    <s v="Low"/>
  </r>
  <r>
    <s v="Bellandur"/>
    <n v="1205"/>
    <x v="0"/>
    <n v="3"/>
    <x v="0"/>
    <s v="Medium"/>
    <n v="660000"/>
    <s v="Medium"/>
  </r>
  <r>
    <s v="5th Phase JP Nagar"/>
    <n v="1075"/>
    <x v="0"/>
    <n v="2"/>
    <x v="0"/>
    <s v="Medium"/>
    <n v="600000"/>
    <s v="Medium"/>
  </r>
  <r>
    <s v="KR Puram"/>
    <n v="930"/>
    <x v="0"/>
    <n v="2"/>
    <x v="0"/>
    <s v="Small"/>
    <n v="390000"/>
    <s v="Low"/>
  </r>
  <r>
    <s v="Balagere"/>
    <n v="1380"/>
    <x v="0"/>
    <n v="1"/>
    <x v="0"/>
    <s v="Medium"/>
    <n v="600000"/>
    <s v="Medium"/>
  </r>
  <r>
    <s v="Hebbal"/>
    <n v="2483"/>
    <x v="1"/>
    <n v="2"/>
    <x v="1"/>
    <s v="Large"/>
    <n v="2120000"/>
    <s v="High"/>
  </r>
  <r>
    <s v="Kodigehaali"/>
    <n v="1166"/>
    <x v="0"/>
    <n v="2"/>
    <x v="0"/>
    <s v="Medium"/>
    <n v="550000"/>
    <s v="Medium"/>
  </r>
  <r>
    <s v="Bannerghatta Road"/>
    <n v="1050"/>
    <x v="0"/>
    <n v="1"/>
    <x v="0"/>
    <s v="Medium"/>
    <n v="650000"/>
    <s v="Medium"/>
  </r>
  <r>
    <s v="Gopalapura"/>
    <n v="2024"/>
    <x v="2"/>
    <n v="2"/>
    <x v="2"/>
    <s v="Large"/>
    <n v="2750000"/>
    <s v="High"/>
  </r>
  <r>
    <s v="Begur Road"/>
    <n v="1200"/>
    <x v="0"/>
    <n v="2"/>
    <x v="0"/>
    <s v="Medium"/>
    <n v="468000"/>
    <s v="Low"/>
  </r>
  <r>
    <s v="Lakshminarayana Pura"/>
    <n v="1600"/>
    <x v="0"/>
    <n v="1"/>
    <x v="2"/>
    <s v="Medium"/>
    <n v="1080000"/>
    <s v="High"/>
  </r>
  <r>
    <s v="Billekahalli"/>
    <n v="1935"/>
    <x v="2"/>
    <n v="2"/>
    <x v="2"/>
    <s v="Medium"/>
    <n v="1100000"/>
    <s v="High"/>
  </r>
  <r>
    <s v="8th Phase JP Nagar"/>
    <n v="451"/>
    <x v="5"/>
    <n v="0"/>
    <x v="4"/>
    <s v="Small"/>
    <n v="299000"/>
    <s v="Low"/>
  </r>
  <r>
    <s v="Electronic City"/>
    <n v="1800"/>
    <x v="2"/>
    <n v="2"/>
    <x v="2"/>
    <s v="Medium"/>
    <n v="950000"/>
    <s v="Medium"/>
  </r>
  <r>
    <s v="Jalahalli"/>
    <n v="1400"/>
    <x v="2"/>
    <n v="0"/>
    <x v="2"/>
    <s v="Medium"/>
    <n v="770000"/>
    <s v="Medium"/>
  </r>
  <r>
    <s v="Hegde Nagar"/>
    <n v="1801"/>
    <x v="2"/>
    <n v="2"/>
    <x v="2"/>
    <s v="Medium"/>
    <n v="1150000"/>
    <s v="High"/>
  </r>
  <r>
    <s v="Mahadevpura"/>
    <n v="1451"/>
    <x v="0"/>
    <n v="2"/>
    <x v="0"/>
    <s v="Medium"/>
    <n v="900000"/>
    <s v="Medium"/>
  </r>
  <r>
    <s v="Anekal"/>
    <n v="1200"/>
    <x v="5"/>
    <n v="1"/>
    <x v="0"/>
    <s v="Medium"/>
    <n v="360000"/>
    <s v="Low"/>
  </r>
  <r>
    <s v="Begur Road"/>
    <n v="1160"/>
    <x v="0"/>
    <n v="2"/>
    <x v="0"/>
    <s v="Medium"/>
    <n v="440000"/>
    <s v="Low"/>
  </r>
  <r>
    <s v="Kengeri"/>
    <n v="1000"/>
    <x v="0"/>
    <n v="1"/>
    <x v="0"/>
    <s v="Small"/>
    <n v="250000"/>
    <s v="Low"/>
  </r>
  <r>
    <s v="Kanakpura Road"/>
    <n v="950"/>
    <x v="0"/>
    <n v="1"/>
    <x v="0"/>
    <s v="Small"/>
    <n v="400000"/>
    <s v="Low"/>
  </r>
  <r>
    <s v="Hoodi Circle, "/>
    <n v="1629"/>
    <x v="2"/>
    <n v="2"/>
    <x v="2"/>
    <s v="Medium"/>
    <n v="790000"/>
    <s v="Medium"/>
  </r>
  <r>
    <s v="Vijayanagar"/>
    <n v="1580"/>
    <x v="0"/>
    <n v="0"/>
    <x v="2"/>
    <s v="Medium"/>
    <n v="1340000"/>
    <s v="High"/>
  </r>
  <r>
    <s v="Vijayanagar"/>
    <n v="1826"/>
    <x v="2"/>
    <n v="2"/>
    <x v="2"/>
    <s v="Medium"/>
    <n v="1210000"/>
    <s v="High"/>
  </r>
  <r>
    <s v="7th Phase JP Nagar"/>
    <n v="1245"/>
    <x v="0"/>
    <n v="1"/>
    <x v="0"/>
    <s v="Medium"/>
    <n v="940000"/>
    <s v="Medium"/>
  </r>
  <r>
    <s v="Raja Rajeshwari Nagar"/>
    <n v="1145"/>
    <x v="0"/>
    <n v="2"/>
    <x v="0"/>
    <s v="Medium"/>
    <n v="457900"/>
    <s v="Low"/>
  </r>
  <r>
    <s v="Sompura"/>
    <n v="825"/>
    <x v="0"/>
    <n v="1"/>
    <x v="0"/>
    <s v="Small"/>
    <n v="330000"/>
    <s v="Low"/>
  </r>
  <r>
    <s v="Yeshwanthpur"/>
    <n v="1693"/>
    <x v="2"/>
    <n v="3"/>
    <x v="2"/>
    <s v="Medium"/>
    <n v="1080000"/>
    <s v="High"/>
  </r>
  <r>
    <s v="Electronics City Phase 1"/>
    <n v="1113"/>
    <x v="0"/>
    <n v="2"/>
    <x v="0"/>
    <s v="Medium"/>
    <n v="530000"/>
    <s v="Medium"/>
  </r>
  <r>
    <s v="Ashirvad Colony"/>
    <n v="1460"/>
    <x v="0"/>
    <n v="1"/>
    <x v="0"/>
    <s v="Medium"/>
    <n v="580000"/>
    <s v="Medium"/>
  </r>
  <r>
    <s v="Doddathoguru"/>
    <n v="1050"/>
    <x v="0"/>
    <n v="1"/>
    <x v="0"/>
    <s v="Medium"/>
    <n v="320000"/>
    <s v="Low"/>
  </r>
  <r>
    <s v="Dodda Nekkundi"/>
    <n v="1260"/>
    <x v="0"/>
    <n v="2"/>
    <x v="0"/>
    <s v="Medium"/>
    <n v="550000"/>
    <s v="Medium"/>
  </r>
  <r>
    <s v="K N Extension"/>
    <n v="700"/>
    <x v="2"/>
    <n v="2"/>
    <x v="3"/>
    <s v="Small"/>
    <n v="1200000"/>
    <s v="High"/>
  </r>
  <r>
    <s v="Hosur Road"/>
    <n v="1656"/>
    <x v="0"/>
    <n v="1"/>
    <x v="0"/>
    <s v="Medium"/>
    <n v="1200000"/>
    <s v="High"/>
  </r>
  <r>
    <s v="Chandapura"/>
    <n v="1208"/>
    <x v="2"/>
    <n v="1"/>
    <x v="2"/>
    <s v="Medium"/>
    <n v="450000"/>
    <s v="Low"/>
  </r>
  <r>
    <s v="Whitefield"/>
    <n v="1910"/>
    <x v="2"/>
    <n v="2"/>
    <x v="2"/>
    <s v="Medium"/>
    <n v="1610000"/>
    <s v="High"/>
  </r>
  <r>
    <s v="Whitefield"/>
    <n v="3252"/>
    <x v="3"/>
    <n v="1"/>
    <x v="1"/>
    <s v="Large"/>
    <n v="2300000"/>
    <s v="High"/>
  </r>
  <r>
    <s v="Battarahalli"/>
    <n v="1200"/>
    <x v="0"/>
    <n v="1"/>
    <x v="0"/>
    <s v="Medium"/>
    <n v="650000"/>
    <s v="Medium"/>
  </r>
  <r>
    <s v="Gokula Extension"/>
    <n v="1200"/>
    <x v="3"/>
    <n v="1"/>
    <x v="1"/>
    <s v="Medium"/>
    <n v="1750000"/>
    <s v="High"/>
  </r>
  <r>
    <s v="7th Phase JP Nagar"/>
    <n v="1175"/>
    <x v="0"/>
    <n v="1"/>
    <x v="0"/>
    <s v="Medium"/>
    <n v="820000"/>
    <s v="Medium"/>
  </r>
  <r>
    <s v="Kamakshipalya"/>
    <n v="1000"/>
    <x v="0"/>
    <n v="0"/>
    <x v="0"/>
    <s v="Small"/>
    <n v="1650000"/>
    <s v="High"/>
  </r>
  <r>
    <s v="Bannerghatta Road"/>
    <n v="1200"/>
    <x v="0"/>
    <n v="0"/>
    <x v="1"/>
    <s v="Medium"/>
    <n v="1250000"/>
    <s v="High"/>
  </r>
  <r>
    <s v="Rajaji Nagar"/>
    <n v="2390"/>
    <x v="2"/>
    <n v="2"/>
    <x v="2"/>
    <s v="Large"/>
    <n v="4100000"/>
    <s v="Luxury"/>
  </r>
  <r>
    <s v="Rajaji Nagar"/>
    <n v="12000"/>
    <x v="4"/>
    <n v="3"/>
    <x v="6"/>
    <s v="Large"/>
    <n v="22000000"/>
    <s v="Luxury"/>
  </r>
  <r>
    <s v="Sultan Palaya"/>
    <n v="550"/>
    <x v="5"/>
    <n v="1"/>
    <x v="0"/>
    <s v="Small"/>
    <n v="620000"/>
    <s v="Medium"/>
  </r>
  <r>
    <s v="Kengeri"/>
    <n v="1559"/>
    <x v="5"/>
    <n v="0"/>
    <x v="4"/>
    <s v="Medium"/>
    <n v="185000"/>
    <s v="Low"/>
  </r>
  <r>
    <s v="Sanne Amanikere"/>
    <n v="1185"/>
    <x v="0"/>
    <n v="2"/>
    <x v="0"/>
    <s v="Medium"/>
    <n v="380000"/>
    <s v="Low"/>
  </r>
  <r>
    <s v="Kengeri"/>
    <n v="750"/>
    <x v="0"/>
    <n v="1"/>
    <x v="0"/>
    <s v="Small"/>
    <n v="380000"/>
    <s v="Low"/>
  </r>
  <r>
    <s v="Mahalakshmi Layout"/>
    <n v="1200"/>
    <x v="8"/>
    <n v="3"/>
    <x v="3"/>
    <s v="Medium"/>
    <n v="2500000"/>
    <s v="High"/>
  </r>
  <r>
    <s v="Kanakpura Road"/>
    <n v="1550"/>
    <x v="2"/>
    <n v="3"/>
    <x v="2"/>
    <s v="Medium"/>
    <n v="645000"/>
    <s v="Medium"/>
  </r>
  <r>
    <s v="Amco Colony"/>
    <n v="1760"/>
    <x v="2"/>
    <n v="2"/>
    <x v="2"/>
    <s v="Medium"/>
    <n v="880000"/>
    <s v="Medium"/>
  </r>
  <r>
    <s v="Billekahalli"/>
    <n v="1125"/>
    <x v="0"/>
    <n v="2"/>
    <x v="0"/>
    <s v="Medium"/>
    <n v="620000"/>
    <s v="Medium"/>
  </r>
  <r>
    <s v="Nagarbhavi"/>
    <n v="1350"/>
    <x v="2"/>
    <n v="2"/>
    <x v="2"/>
    <s v="Medium"/>
    <n v="1500000"/>
    <s v="High"/>
  </r>
  <r>
    <s v="Anandapura"/>
    <n v="1000"/>
    <x v="0"/>
    <n v="1"/>
    <x v="0"/>
    <s v="Small"/>
    <n v="550000"/>
    <s v="Medium"/>
  </r>
  <r>
    <s v="Bommasandra Industrial Area"/>
    <n v="1090"/>
    <x v="0"/>
    <n v="2"/>
    <x v="0"/>
    <s v="Medium"/>
    <n v="314800"/>
    <s v="Low"/>
  </r>
  <r>
    <s v="TC Palaya"/>
    <n v="1200"/>
    <x v="0"/>
    <n v="0"/>
    <x v="0"/>
    <s v="Medium"/>
    <n v="600000"/>
    <s v="Medium"/>
  </r>
  <r>
    <s v="Budigere"/>
    <n v="1991"/>
    <x v="3"/>
    <n v="2"/>
    <x v="2"/>
    <s v="Medium"/>
    <n v="1030000"/>
    <s v="High"/>
  </r>
  <r>
    <s v="Bommasandra"/>
    <n v="1060"/>
    <x v="0"/>
    <n v="1"/>
    <x v="0"/>
    <s v="Medium"/>
    <n v="265000"/>
    <s v="Low"/>
  </r>
  <r>
    <s v="Ambalipura"/>
    <n v="1105"/>
    <x v="0"/>
    <n v="1"/>
    <x v="0"/>
    <s v="Medium"/>
    <n v="750000"/>
    <s v="Medium"/>
  </r>
  <r>
    <s v="Hoodi"/>
    <n v="985"/>
    <x v="0"/>
    <n v="2"/>
    <x v="0"/>
    <s v="Small"/>
    <n v="670000"/>
    <s v="Medium"/>
  </r>
  <r>
    <s v="Chandapura"/>
    <n v="1533"/>
    <x v="1"/>
    <n v="3"/>
    <x v="3"/>
    <s v="Medium"/>
    <n v="850000"/>
    <s v="Medium"/>
  </r>
  <r>
    <s v="Balagere"/>
    <n v="1590"/>
    <x v="2"/>
    <n v="2"/>
    <x v="2"/>
    <s v="Medium"/>
    <n v="790000"/>
    <s v="Medium"/>
  </r>
  <r>
    <s v="CV Raman Nagar"/>
    <n v="1120"/>
    <x v="0"/>
    <n v="2"/>
    <x v="0"/>
    <s v="Medium"/>
    <n v="550000"/>
    <s v="Medium"/>
  </r>
  <r>
    <s v="Samethanahalli"/>
    <n v="1069"/>
    <x v="0"/>
    <n v="1"/>
    <x v="0"/>
    <s v="Medium"/>
    <n v="550000"/>
    <s v="Medium"/>
  </r>
  <r>
    <s v="Marathahalli"/>
    <n v="1933"/>
    <x v="2"/>
    <n v="2"/>
    <x v="2"/>
    <s v="Medium"/>
    <n v="1400000"/>
    <s v="High"/>
  </r>
  <r>
    <s v="Hosur Road"/>
    <n v="1194"/>
    <x v="0"/>
    <n v="0"/>
    <x v="0"/>
    <s v="Medium"/>
    <n v="690000"/>
    <s v="Medium"/>
  </r>
  <r>
    <s v="Brookefield"/>
    <n v="1150"/>
    <x v="0"/>
    <n v="3"/>
    <x v="0"/>
    <s v="Medium"/>
    <n v="690000"/>
    <s v="Medium"/>
  </r>
  <r>
    <s v="Yelenahalli"/>
    <n v="1240"/>
    <x v="0"/>
    <n v="2"/>
    <x v="0"/>
    <s v="Medium"/>
    <n v="471200"/>
    <s v="Low"/>
  </r>
  <r>
    <s v="Raja Rajeshwari Nagar"/>
    <n v="1419"/>
    <x v="0"/>
    <n v="2"/>
    <x v="0"/>
    <s v="Medium"/>
    <n v="481000"/>
    <s v="Low"/>
  </r>
  <r>
    <s v="7th Phase JP Nagar"/>
    <n v="1200"/>
    <x v="7"/>
    <n v="2"/>
    <x v="5"/>
    <s v="Medium"/>
    <n v="2500000"/>
    <s v="High"/>
  </r>
  <r>
    <s v="Richmond Town"/>
    <n v="2150"/>
    <x v="3"/>
    <n v="2"/>
    <x v="2"/>
    <s v="Large"/>
    <n v="2400000"/>
    <s v="High"/>
  </r>
  <r>
    <s v="Suddaguntepalya"/>
    <n v="1450"/>
    <x v="2"/>
    <n v="2"/>
    <x v="2"/>
    <s v="Medium"/>
    <n v="550000"/>
    <s v="Medium"/>
  </r>
  <r>
    <s v="Udayapur Village"/>
    <n v="1630"/>
    <x v="2"/>
    <n v="2"/>
    <x v="2"/>
    <s v="Medium"/>
    <n v="682900"/>
    <s v="Medium"/>
  </r>
  <r>
    <s v="Dasanapura"/>
    <n v="708"/>
    <x v="5"/>
    <n v="1"/>
    <x v="0"/>
    <s v="Small"/>
    <n v="400000"/>
    <s v="Low"/>
  </r>
  <r>
    <s v="Kasavanhalli"/>
    <n v="1000"/>
    <x v="3"/>
    <n v="3"/>
    <x v="2"/>
    <s v="Small"/>
    <n v="1100000"/>
    <s v="High"/>
  </r>
  <r>
    <s v="Whitefield"/>
    <n v="11890"/>
    <x v="3"/>
    <n v="3"/>
    <x v="1"/>
    <s v="Large"/>
    <n v="7000000"/>
    <s v="Luxury"/>
  </r>
  <r>
    <s v="Bellandur"/>
    <n v="1250"/>
    <x v="0"/>
    <n v="1"/>
    <x v="0"/>
    <s v="Medium"/>
    <n v="760000"/>
    <s v="Medium"/>
  </r>
  <r>
    <s v="7th Phase JP Nagar"/>
    <n v="1400"/>
    <x v="0"/>
    <n v="1"/>
    <x v="2"/>
    <s v="Medium"/>
    <n v="950000"/>
    <s v="Medium"/>
  </r>
  <r>
    <s v="Sarjapur  Road"/>
    <n v="1670"/>
    <x v="0"/>
    <n v="3"/>
    <x v="2"/>
    <s v="Medium"/>
    <n v="570000"/>
    <s v="Medium"/>
  </r>
  <r>
    <s v="Ardendale"/>
    <n v="1750"/>
    <x v="2"/>
    <n v="2"/>
    <x v="2"/>
    <s v="Medium"/>
    <n v="1000000"/>
    <s v="Medium"/>
  </r>
  <r>
    <s v="Vittasandra"/>
    <n v="1404"/>
    <x v="0"/>
    <n v="1"/>
    <x v="0"/>
    <s v="Medium"/>
    <n v="710000"/>
    <s v="Medium"/>
  </r>
  <r>
    <s v="Hoodi"/>
    <n v="1715"/>
    <x v="0"/>
    <n v="2"/>
    <x v="2"/>
    <s v="Medium"/>
    <n v="950000"/>
    <s v="Medium"/>
  </r>
  <r>
    <s v="Electronic City"/>
    <n v="630"/>
    <x v="5"/>
    <n v="1"/>
    <x v="4"/>
    <s v="Small"/>
    <n v="346500"/>
    <s v="Low"/>
  </r>
  <r>
    <s v="Harlur"/>
    <n v="1752"/>
    <x v="2"/>
    <n v="2"/>
    <x v="2"/>
    <s v="Medium"/>
    <n v="1350000"/>
    <s v="High"/>
  </r>
  <r>
    <s v="Hulimavu"/>
    <n v="1650"/>
    <x v="2"/>
    <n v="2"/>
    <x v="2"/>
    <s v="Medium"/>
    <n v="780000"/>
    <s v="Medium"/>
  </r>
  <r>
    <s v="Raja Rajeshwari Nagar"/>
    <n v="1295"/>
    <x v="0"/>
    <n v="1"/>
    <x v="0"/>
    <s v="Medium"/>
    <n v="554700"/>
    <s v="Medium"/>
  </r>
  <r>
    <s v="FARLAHM"/>
    <n v="1800"/>
    <x v="2"/>
    <n v="2"/>
    <x v="2"/>
    <s v="Medium"/>
    <n v="2520000"/>
    <s v="High"/>
  </r>
  <r>
    <s v="Sarjapur  Road"/>
    <n v="1346"/>
    <x v="0"/>
    <n v="1"/>
    <x v="0"/>
    <s v="Medium"/>
    <n v="740300"/>
    <s v="Medium"/>
  </r>
  <r>
    <s v="Thippasandra"/>
    <n v="1200"/>
    <x v="3"/>
    <n v="2"/>
    <x v="1"/>
    <s v="Medium"/>
    <n v="2000000"/>
    <s v="High"/>
  </r>
  <r>
    <s v="Hormavu"/>
    <n v="1150"/>
    <x v="0"/>
    <n v="2"/>
    <x v="0"/>
    <s v="Medium"/>
    <n v="550000"/>
    <s v="Medium"/>
  </r>
  <r>
    <s v="Chikkabidarakallu"/>
    <n v="3309"/>
    <x v="3"/>
    <n v="3"/>
    <x v="1"/>
    <s v="Large"/>
    <n v="3250000"/>
    <s v="Luxury"/>
  </r>
  <r>
    <s v="Chandapura"/>
    <n v="1190"/>
    <x v="0"/>
    <n v="2"/>
    <x v="2"/>
    <s v="Medium"/>
    <n v="303500"/>
    <s v="Low"/>
  </r>
  <r>
    <s v="AECS Layout"/>
    <n v="1620"/>
    <x v="2"/>
    <n v="2"/>
    <x v="2"/>
    <s v="Medium"/>
    <n v="980000"/>
    <s v="Medium"/>
  </r>
  <r>
    <s v="Marathahalli"/>
    <n v="950"/>
    <x v="0"/>
    <n v="1"/>
    <x v="0"/>
    <s v="Small"/>
    <n v="469600"/>
    <s v="Low"/>
  </r>
  <r>
    <s v="1 FARLAHM"/>
    <n v="5000"/>
    <x v="6"/>
    <n v="3"/>
    <x v="8"/>
    <s v="Large"/>
    <n v="3600000"/>
    <s v="Luxury"/>
  </r>
  <r>
    <s v="Harlur"/>
    <n v="2450"/>
    <x v="2"/>
    <n v="0"/>
    <x v="2"/>
    <s v="Large"/>
    <n v="1200000"/>
    <s v="High"/>
  </r>
  <r>
    <s v="Electronic City Phase II"/>
    <n v="1220"/>
    <x v="0"/>
    <n v="1"/>
    <x v="2"/>
    <s v="Medium"/>
    <n v="352300"/>
    <s v="Low"/>
  </r>
  <r>
    <s v="Hoysalanagar"/>
    <n v="850"/>
    <x v="0"/>
    <n v="1"/>
    <x v="0"/>
    <s v="Small"/>
    <n v="300000"/>
    <s v="Low"/>
  </r>
  <r>
    <s v="Padmanabhanagar"/>
    <n v="1020"/>
    <x v="0"/>
    <n v="2"/>
    <x v="0"/>
    <s v="Medium"/>
    <n v="630000"/>
    <s v="Medium"/>
  </r>
  <r>
    <s v="Chikkalasandra"/>
    <n v="1100"/>
    <x v="0"/>
    <n v="2"/>
    <x v="0"/>
    <s v="Medium"/>
    <n v="500000"/>
    <s v="Low"/>
  </r>
  <r>
    <s v="Defence Colony"/>
    <n v="1150"/>
    <x v="0"/>
    <n v="2"/>
    <x v="0"/>
    <s v="Medium"/>
    <n v="1260000"/>
    <s v="High"/>
  </r>
  <r>
    <s v="Hebbal"/>
    <n v="1760"/>
    <x v="0"/>
    <n v="2"/>
    <x v="2"/>
    <s v="Medium"/>
    <n v="1300000"/>
    <s v="High"/>
  </r>
  <r>
    <s v="Ambalipura"/>
    <n v="1800"/>
    <x v="2"/>
    <n v="3"/>
    <x v="2"/>
    <s v="Medium"/>
    <n v="1100000"/>
    <s v="High"/>
  </r>
  <r>
    <s v="Akshaya Nagar"/>
    <n v="1070"/>
    <x v="0"/>
    <n v="1"/>
    <x v="0"/>
    <s v="Medium"/>
    <n v="540000"/>
    <s v="Medium"/>
  </r>
  <r>
    <s v="2nd Stage Nagarbhavi"/>
    <n v="1500"/>
    <x v="3"/>
    <n v="2"/>
    <x v="1"/>
    <s v="Medium"/>
    <n v="2200000"/>
    <s v="High"/>
  </r>
  <r>
    <s v="Vidyaranyapura"/>
    <n v="1440"/>
    <x v="0"/>
    <n v="0"/>
    <x v="0"/>
    <s v="Medium"/>
    <n v="950000"/>
    <s v="Medium"/>
  </r>
  <r>
    <s v="Amruthahalli"/>
    <n v="900"/>
    <x v="0"/>
    <n v="1"/>
    <x v="0"/>
    <s v="Small"/>
    <n v="400000"/>
    <s v="Low"/>
  </r>
  <r>
    <s v="ITI Employees Layout"/>
    <n v="1200"/>
    <x v="3"/>
    <n v="1"/>
    <x v="1"/>
    <s v="Medium"/>
    <n v="2300000"/>
    <s v="High"/>
  </r>
  <r>
    <s v="Whitefield"/>
    <n v="1130"/>
    <x v="0"/>
    <n v="1"/>
    <x v="0"/>
    <s v="Medium"/>
    <n v="421600"/>
    <s v="Low"/>
  </r>
  <r>
    <s v="Koramangala"/>
    <n v="1320"/>
    <x v="0"/>
    <n v="1"/>
    <x v="0"/>
    <s v="Medium"/>
    <n v="1650000"/>
    <s v="High"/>
  </r>
  <r>
    <s v="Kodigehalli"/>
    <n v="1270"/>
    <x v="0"/>
    <n v="1"/>
    <x v="0"/>
    <s v="Medium"/>
    <n v="980000"/>
    <s v="Medium"/>
  </r>
  <r>
    <s v="Patelappa Layout"/>
    <n v="1200"/>
    <x v="0"/>
    <n v="1"/>
    <x v="0"/>
    <s v="Medium"/>
    <n v="620000"/>
    <s v="Medium"/>
  </r>
  <r>
    <s v="Ring Road Nagarbhavi"/>
    <n v="4800"/>
    <x v="3"/>
    <n v="2"/>
    <x v="1"/>
    <s v="Large"/>
    <n v="2350000"/>
    <s v="High"/>
  </r>
  <r>
    <s v="NS Palya"/>
    <n v="1200"/>
    <x v="0"/>
    <n v="1"/>
    <x v="0"/>
    <s v="Medium"/>
    <n v="740000"/>
    <s v="Medium"/>
  </r>
  <r>
    <s v="Subramanyapura"/>
    <n v="929"/>
    <x v="0"/>
    <n v="0"/>
    <x v="0"/>
    <s v="Small"/>
    <n v="501700"/>
    <s v="Medium"/>
  </r>
  <r>
    <s v="RMV 2nd Stage"/>
    <n v="1150"/>
    <x v="3"/>
    <n v="2"/>
    <x v="1"/>
    <s v="Medium"/>
    <n v="2600000"/>
    <s v="High"/>
  </r>
  <r>
    <s v="Basavangudi"/>
    <n v="1125"/>
    <x v="3"/>
    <n v="3"/>
    <x v="1"/>
    <s v="Medium"/>
    <n v="1800000"/>
    <s v="High"/>
  </r>
  <r>
    <s v="Kenchenahalli"/>
    <n v="500"/>
    <x v="2"/>
    <n v="2"/>
    <x v="7"/>
    <s v="Small"/>
    <n v="650000"/>
    <s v="Medium"/>
  </r>
  <r>
    <s v="3rd Block Hrbr Layout"/>
    <n v="1200"/>
    <x v="1"/>
    <n v="2"/>
    <x v="7"/>
    <s v="Medium"/>
    <n v="1900000"/>
    <s v="High"/>
  </r>
  <r>
    <s v="KUDLU MAIN ROAD"/>
    <n v="1464"/>
    <x v="2"/>
    <n v="2"/>
    <x v="2"/>
    <s v="Medium"/>
    <n v="560000"/>
    <s v="Medium"/>
  </r>
  <r>
    <s v="7th Phase JP Nagar"/>
    <n v="3600"/>
    <x v="3"/>
    <n v="3"/>
    <x v="1"/>
    <s v="Large"/>
    <n v="4000000"/>
    <s v="Luxury"/>
  </r>
  <r>
    <s v="Bank Avenue"/>
    <n v="2000"/>
    <x v="3"/>
    <n v="2"/>
    <x v="1"/>
    <s v="Medium"/>
    <n v="990000"/>
    <s v="Medium"/>
  </r>
  <r>
    <s v="Chikkalasandra"/>
    <n v="1208"/>
    <x v="0"/>
    <n v="1"/>
    <x v="0"/>
    <s v="Medium"/>
    <n v="490000"/>
    <s v="Low"/>
  </r>
  <r>
    <s v="Hebbal Kempapura"/>
    <n v="1130"/>
    <x v="0"/>
    <n v="2"/>
    <x v="0"/>
    <s v="Medium"/>
    <n v="600000"/>
    <s v="Medium"/>
  </r>
  <r>
    <s v="Surabhi Layout"/>
    <n v="1753"/>
    <x v="2"/>
    <n v="2"/>
    <x v="2"/>
    <s v="Medium"/>
    <n v="1200000"/>
    <s v="High"/>
  </r>
  <r>
    <s v="Old Madras Road"/>
    <n v="4500"/>
    <x v="8"/>
    <n v="3"/>
    <x v="7"/>
    <s v="Large"/>
    <n v="3370000"/>
    <s v="Luxury"/>
  </r>
  <r>
    <s v="Banjara Layout"/>
    <n v="600"/>
    <x v="2"/>
    <n v="2"/>
    <x v="2"/>
    <s v="Small"/>
    <n v="580000"/>
    <s v="Medium"/>
  </r>
  <r>
    <s v="Hoodi"/>
    <n v="1196"/>
    <x v="0"/>
    <n v="2"/>
    <x v="0"/>
    <s v="Medium"/>
    <n v="944200"/>
    <s v="Medium"/>
  </r>
  <r>
    <s v="5th Phase JP Nagar"/>
    <n v="1150"/>
    <x v="2"/>
    <n v="3"/>
    <x v="0"/>
    <s v="Medium"/>
    <n v="525000"/>
    <s v="Medium"/>
  </r>
  <r>
    <s v="Electronic City"/>
    <n v="1128"/>
    <x v="0"/>
    <n v="1"/>
    <x v="0"/>
    <s v="Medium"/>
    <n v="630000"/>
    <s v="Medium"/>
  </r>
  <r>
    <s v="Omkar Nagar"/>
    <n v="1000"/>
    <x v="0"/>
    <n v="1"/>
    <x v="0"/>
    <s v="Small"/>
    <n v="530000"/>
    <s v="Medium"/>
  </r>
  <r>
    <s v="Yelahanka"/>
    <n v="1035"/>
    <x v="0"/>
    <n v="1"/>
    <x v="0"/>
    <s v="Medium"/>
    <n v="450000"/>
    <s v="Low"/>
  </r>
  <r>
    <s v="Kereguddadahalli"/>
    <n v="950"/>
    <x v="0"/>
    <n v="1"/>
    <x v="0"/>
    <s v="Small"/>
    <n v="320000"/>
    <s v="Low"/>
  </r>
  <r>
    <s v="Bisuvanahalli"/>
    <n v="1075"/>
    <x v="0"/>
    <n v="1"/>
    <x v="2"/>
    <s v="Medium"/>
    <n v="360000"/>
    <s v="Low"/>
  </r>
  <r>
    <s v="Whitefield"/>
    <n v="1040"/>
    <x v="0"/>
    <n v="1"/>
    <x v="0"/>
    <s v="Medium"/>
    <n v="485000"/>
    <s v="Low"/>
  </r>
  <r>
    <s v="Maragondanahalli"/>
    <n v="720"/>
    <x v="0"/>
    <n v="1"/>
    <x v="0"/>
    <s v="Small"/>
    <n v="450000"/>
    <s v="Low"/>
  </r>
  <r>
    <s v="Lingadheeranahalli"/>
    <n v="1511"/>
    <x v="2"/>
    <n v="1"/>
    <x v="2"/>
    <s v="Medium"/>
    <n v="950000"/>
    <s v="Medium"/>
  </r>
  <r>
    <s v="Silk Board"/>
    <n v="1300"/>
    <x v="2"/>
    <n v="1"/>
    <x v="2"/>
    <s v="Medium"/>
    <n v="580000"/>
    <s v="Medium"/>
  </r>
  <r>
    <s v="Hoodi"/>
    <n v="1545"/>
    <x v="2"/>
    <n v="1"/>
    <x v="2"/>
    <s v="Medium"/>
    <n v="687500"/>
    <s v="Medium"/>
  </r>
  <r>
    <s v="Shampura"/>
    <n v="375"/>
    <x v="0"/>
    <n v="0"/>
    <x v="4"/>
    <s v="Small"/>
    <n v="260000"/>
    <s v="Low"/>
  </r>
  <r>
    <s v="Vidyaranyapura"/>
    <n v="1062"/>
    <x v="0"/>
    <n v="3"/>
    <x v="0"/>
    <s v="Medium"/>
    <n v="380000"/>
    <s v="Low"/>
  </r>
  <r>
    <s v="Kada Agrahara"/>
    <n v="1115"/>
    <x v="0"/>
    <n v="1"/>
    <x v="0"/>
    <s v="Medium"/>
    <n v="400000"/>
    <s v="Low"/>
  </r>
  <r>
    <s v="JP Nagar"/>
    <n v="1000"/>
    <x v="0"/>
    <n v="1"/>
    <x v="0"/>
    <s v="Small"/>
    <n v="350000"/>
    <s v="Low"/>
  </r>
  <r>
    <s v="Kambipura"/>
    <n v="883"/>
    <x v="0"/>
    <n v="1"/>
    <x v="0"/>
    <s v="Small"/>
    <n v="450000"/>
    <s v="Low"/>
  </r>
  <r>
    <s v="Sarjapur  Road"/>
    <n v="1195"/>
    <x v="0"/>
    <n v="1"/>
    <x v="0"/>
    <s v="Medium"/>
    <n v="700000"/>
    <s v="Medium"/>
  </r>
  <r>
    <s v="BHEL Layout"/>
    <n v="1200"/>
    <x v="2"/>
    <n v="1"/>
    <x v="1"/>
    <s v="Medium"/>
    <n v="1650000"/>
    <s v="High"/>
  </r>
  <r>
    <s v="Medahalli"/>
    <n v="700"/>
    <x v="5"/>
    <n v="0"/>
    <x v="4"/>
    <s v="Small"/>
    <n v="410000"/>
    <s v="Low"/>
  </r>
  <r>
    <s v="Vittasandra"/>
    <n v="1246"/>
    <x v="0"/>
    <n v="1"/>
    <x v="0"/>
    <s v="Medium"/>
    <n v="670000"/>
    <s v="Medium"/>
  </r>
  <r>
    <s v="8th Phase JP Nagar"/>
    <n v="660"/>
    <x v="3"/>
    <n v="2"/>
    <x v="1"/>
    <s v="Small"/>
    <n v="900000"/>
    <s v="Medium"/>
  </r>
  <r>
    <s v="Banashankari Stage III"/>
    <n v="8500"/>
    <x v="3"/>
    <n v="2"/>
    <x v="1"/>
    <s v="Large"/>
    <n v="1450000"/>
    <s v="High"/>
  </r>
  <r>
    <s v="Kashi Nagar"/>
    <n v="1600"/>
    <x v="3"/>
    <n v="1"/>
    <x v="1"/>
    <s v="Medium"/>
    <n v="800000"/>
    <s v="Medium"/>
  </r>
  <r>
    <s v="Haralur Road"/>
    <n v="2805"/>
    <x v="1"/>
    <n v="3"/>
    <x v="1"/>
    <s v="Large"/>
    <n v="1540000"/>
    <s v="High"/>
  </r>
  <r>
    <s v="Begur Road"/>
    <n v="1584"/>
    <x v="2"/>
    <n v="2"/>
    <x v="2"/>
    <s v="Medium"/>
    <n v="650000"/>
    <s v="Medium"/>
  </r>
  <r>
    <s v="Sector 7 HSR Layout"/>
    <n v="3000"/>
    <x v="1"/>
    <n v="1"/>
    <x v="1"/>
    <s v="Large"/>
    <n v="2750000"/>
    <s v="High"/>
  </r>
  <r>
    <s v="Hosur Road"/>
    <n v="1175"/>
    <x v="0"/>
    <n v="2"/>
    <x v="2"/>
    <s v="Medium"/>
    <n v="480000"/>
    <s v="Low"/>
  </r>
  <r>
    <s v="Yemlur, Old Airport Road, "/>
    <n v="1595"/>
    <x v="2"/>
    <n v="2"/>
    <x v="2"/>
    <s v="Medium"/>
    <n v="1150000"/>
    <s v="High"/>
  </r>
  <r>
    <s v="VHBCS Layout"/>
    <n v="1353"/>
    <x v="0"/>
    <n v="2"/>
    <x v="0"/>
    <s v="Medium"/>
    <n v="1100000"/>
    <s v="High"/>
  </r>
  <r>
    <s v="Electronic City"/>
    <n v="1599"/>
    <x v="2"/>
    <n v="2"/>
    <x v="2"/>
    <s v="Medium"/>
    <n v="1250000"/>
    <s v="High"/>
  </r>
  <r>
    <s v="Whitefield"/>
    <n v="1150"/>
    <x v="0"/>
    <n v="1"/>
    <x v="0"/>
    <s v="Medium"/>
    <n v="700000"/>
    <s v="Medium"/>
  </r>
  <r>
    <s v="Jakkur"/>
    <n v="5230"/>
    <x v="4"/>
    <n v="1"/>
    <x v="1"/>
    <s v="Large"/>
    <n v="4650000"/>
    <s v="Luxury"/>
  </r>
  <r>
    <s v="KR Puram"/>
    <n v="1155"/>
    <x v="0"/>
    <n v="2"/>
    <x v="0"/>
    <s v="Medium"/>
    <n v="427400"/>
    <s v="Low"/>
  </r>
  <r>
    <s v="Ittamadu"/>
    <n v="1200"/>
    <x v="0"/>
    <n v="0"/>
    <x v="4"/>
    <s v="Medium"/>
    <n v="850000"/>
    <s v="Medium"/>
  </r>
  <r>
    <s v="Electronic City Phase II"/>
    <n v="1000"/>
    <x v="0"/>
    <n v="1"/>
    <x v="0"/>
    <s v="Small"/>
    <n v="250000"/>
    <s v="Low"/>
  </r>
  <r>
    <s v="Thanisandra"/>
    <n v="3000"/>
    <x v="3"/>
    <n v="2"/>
    <x v="1"/>
    <s v="Large"/>
    <n v="1200000"/>
    <s v="High"/>
  </r>
  <r>
    <s v="Rajiv Nagar"/>
    <n v="1867"/>
    <x v="2"/>
    <n v="1"/>
    <x v="2"/>
    <s v="Medium"/>
    <n v="1600000"/>
    <s v="High"/>
  </r>
  <r>
    <s v="Ramagondanahalli"/>
    <n v="1251"/>
    <x v="0"/>
    <n v="1"/>
    <x v="0"/>
    <s v="Medium"/>
    <n v="470000"/>
    <s v="Low"/>
  </r>
  <r>
    <s v="Gattahalli"/>
    <n v="1028"/>
    <x v="0"/>
    <n v="1"/>
    <x v="0"/>
    <s v="Medium"/>
    <n v="455000"/>
    <s v="Low"/>
  </r>
  <r>
    <s v="Arekere"/>
    <n v="1222"/>
    <x v="0"/>
    <n v="2"/>
    <x v="0"/>
    <s v="Medium"/>
    <n v="450000"/>
    <s v="Low"/>
  </r>
  <r>
    <s v="Bannerghatta Road"/>
    <n v="1170"/>
    <x v="0"/>
    <n v="1"/>
    <x v="2"/>
    <s v="Medium"/>
    <n v="660000"/>
    <s v="Medium"/>
  </r>
  <r>
    <s v="Hebbal"/>
    <n v="2400"/>
    <x v="3"/>
    <n v="1"/>
    <x v="2"/>
    <s v="Large"/>
    <n v="2450000"/>
    <s v="High"/>
  </r>
  <r>
    <s v="Ramanjaneyanagar"/>
    <n v="1385"/>
    <x v="0"/>
    <n v="2"/>
    <x v="2"/>
    <s v="Medium"/>
    <n v="484800"/>
    <s v="Low"/>
  </r>
  <r>
    <s v="HSR Layout"/>
    <n v="1372"/>
    <x v="0"/>
    <n v="1"/>
    <x v="0"/>
    <s v="Medium"/>
    <n v="680000"/>
    <s v="Medium"/>
  </r>
  <r>
    <s v="Magadi Road"/>
    <n v="1282"/>
    <x v="0"/>
    <n v="2"/>
    <x v="2"/>
    <s v="Medium"/>
    <n v="490000"/>
    <s v="Low"/>
  </r>
  <r>
    <s v="Mico Layout"/>
    <n v="5000"/>
    <x v="6"/>
    <n v="3"/>
    <x v="9"/>
    <s v="Large"/>
    <n v="2100000"/>
    <s v="High"/>
  </r>
  <r>
    <s v="7th Block Jayanagar"/>
    <n v="3000"/>
    <x v="2"/>
    <n v="1"/>
    <x v="7"/>
    <s v="Large"/>
    <n v="5280000"/>
    <s v="Luxury"/>
  </r>
  <r>
    <s v="Kanakpura Road"/>
    <n v="1135"/>
    <x v="0"/>
    <n v="1"/>
    <x v="0"/>
    <s v="Medium"/>
    <n v="397300"/>
    <s v="Low"/>
  </r>
  <r>
    <s v="Whitefield"/>
    <n v="1768"/>
    <x v="2"/>
    <n v="2"/>
    <x v="2"/>
    <s v="Medium"/>
    <n v="1010000"/>
    <s v="High"/>
  </r>
  <r>
    <s v="Byatarayanapura"/>
    <n v="1325"/>
    <x v="0"/>
    <n v="1"/>
    <x v="2"/>
    <s v="Medium"/>
    <n v="900000"/>
    <s v="Medium"/>
  </r>
  <r>
    <s v="Electronic City"/>
    <n v="1599"/>
    <x v="2"/>
    <n v="2"/>
    <x v="2"/>
    <s v="Medium"/>
    <n v="990000"/>
    <s v="Medium"/>
  </r>
  <r>
    <s v="Whitefield"/>
    <n v="1500"/>
    <x v="2"/>
    <n v="1"/>
    <x v="2"/>
    <s v="Medium"/>
    <n v="619500"/>
    <s v="Medium"/>
  </r>
  <r>
    <s v="2nd Phase JP Nagar"/>
    <n v="2610"/>
    <x v="2"/>
    <n v="0"/>
    <x v="2"/>
    <s v="Large"/>
    <n v="4990000"/>
    <s v="Luxury"/>
  </r>
  <r>
    <s v="Uttarahalli"/>
    <n v="1286"/>
    <x v="0"/>
    <n v="2"/>
    <x v="0"/>
    <s v="Medium"/>
    <n v="630000"/>
    <s v="Medium"/>
  </r>
  <r>
    <s v="Kammanahalli"/>
    <n v="2845"/>
    <x v="1"/>
    <n v="1"/>
    <x v="7"/>
    <s v="Large"/>
    <n v="1400000"/>
    <s v="High"/>
  </r>
  <r>
    <s v="K G Colony"/>
    <n v="1600"/>
    <x v="0"/>
    <n v="2"/>
    <x v="2"/>
    <s v="Medium"/>
    <n v="500000"/>
    <s v="Low"/>
  </r>
  <r>
    <s v="Hennur Road"/>
    <n v="1559"/>
    <x v="0"/>
    <n v="0"/>
    <x v="0"/>
    <s v="Medium"/>
    <n v="637700"/>
    <s v="Medium"/>
  </r>
  <r>
    <s v="Hebbal"/>
    <n v="3450"/>
    <x v="1"/>
    <n v="2"/>
    <x v="2"/>
    <s v="Large"/>
    <n v="2600000"/>
    <s v="High"/>
  </r>
  <r>
    <s v="Munnekollal"/>
    <n v="1102"/>
    <x v="0"/>
    <n v="2"/>
    <x v="0"/>
    <s v="Medium"/>
    <n v="536700"/>
    <s v="Medium"/>
  </r>
  <r>
    <s v="Yelahanka"/>
    <n v="1350"/>
    <x v="0"/>
    <n v="2"/>
    <x v="0"/>
    <s v="Medium"/>
    <n v="540000"/>
    <s v="Medium"/>
  </r>
  <r>
    <s v="Banashankari"/>
    <n v="1200"/>
    <x v="0"/>
    <n v="2"/>
    <x v="2"/>
    <s v="Medium"/>
    <n v="420000"/>
    <s v="Low"/>
  </r>
  <r>
    <s v="Hosa Road"/>
    <n v="1300"/>
    <x v="4"/>
    <n v="0"/>
    <x v="3"/>
    <s v="Medium"/>
    <n v="1450000"/>
    <s v="High"/>
  </r>
  <r>
    <s v="Herohalli"/>
    <n v="1800"/>
    <x v="5"/>
    <n v="1"/>
    <x v="0"/>
    <s v="Medium"/>
    <n v="800000"/>
    <s v="Medium"/>
  </r>
  <r>
    <s v="Chikkabanavar"/>
    <n v="950"/>
    <x v="0"/>
    <n v="1"/>
    <x v="0"/>
    <s v="Small"/>
    <n v="400000"/>
    <s v="Low"/>
  </r>
  <r>
    <s v="Kanakpura Road"/>
    <n v="525"/>
    <x v="5"/>
    <n v="1"/>
    <x v="4"/>
    <s v="Small"/>
    <n v="272500"/>
    <s v="Low"/>
  </r>
  <r>
    <s v="Attibele"/>
    <n v="656"/>
    <x v="0"/>
    <n v="1"/>
    <x v="0"/>
    <s v="Small"/>
    <n v="250000"/>
    <s v="Low"/>
  </r>
  <r>
    <s v="Marathahalli"/>
    <n v="1780"/>
    <x v="3"/>
    <n v="3"/>
    <x v="1"/>
    <s v="Medium"/>
    <n v="1750000"/>
    <s v="High"/>
  </r>
  <r>
    <s v="3rd Block Hrbr Layout"/>
    <n v="1056"/>
    <x v="0"/>
    <n v="1"/>
    <x v="0"/>
    <s v="Medium"/>
    <n v="800000"/>
    <s v="Medium"/>
  </r>
  <r>
    <s v="Bannerghatta Road"/>
    <n v="595"/>
    <x v="5"/>
    <n v="1"/>
    <x v="4"/>
    <s v="Small"/>
    <n v="333200"/>
    <s v="Low"/>
  </r>
  <r>
    <s v="Ittamadu"/>
    <n v="1080"/>
    <x v="0"/>
    <n v="2"/>
    <x v="0"/>
    <s v="Medium"/>
    <n v="500000"/>
    <s v="Low"/>
  </r>
  <r>
    <s v="7th Phase JP Nagar"/>
    <n v="2225"/>
    <x v="2"/>
    <n v="1"/>
    <x v="2"/>
    <s v="Large"/>
    <n v="1600000"/>
    <s v="High"/>
  </r>
  <r>
    <s v="Bommasandra"/>
    <n v="1126"/>
    <x v="0"/>
    <n v="1"/>
    <x v="0"/>
    <s v="Medium"/>
    <n v="281500"/>
    <s v="Low"/>
  </r>
  <r>
    <s v="Electronics City Phase 1"/>
    <n v="1490"/>
    <x v="2"/>
    <n v="1"/>
    <x v="2"/>
    <s v="Medium"/>
    <n v="840000"/>
    <s v="Medium"/>
  </r>
  <r>
    <s v="HRBR Layout"/>
    <n v="2000"/>
    <x v="3"/>
    <n v="1"/>
    <x v="1"/>
    <s v="Medium"/>
    <n v="3000000"/>
    <s v="High"/>
  </r>
  <r>
    <s v="Sarjapur  Road"/>
    <n v="1550"/>
    <x v="2"/>
    <n v="3"/>
    <x v="2"/>
    <s v="Medium"/>
    <n v="1000000"/>
    <s v="Medium"/>
  </r>
  <r>
    <s v="unkonwn"/>
    <n v="1600"/>
    <x v="2"/>
    <n v="2"/>
    <x v="2"/>
    <s v="Medium"/>
    <n v="860000"/>
    <s v="Medium"/>
  </r>
  <r>
    <s v="Ashwini layout"/>
    <n v="1160"/>
    <x v="0"/>
    <n v="1"/>
    <x v="0"/>
    <s v="Medium"/>
    <n v="550000"/>
    <s v="Medium"/>
  </r>
  <r>
    <s v="Whitefield"/>
    <n v="4144"/>
    <x v="3"/>
    <n v="3"/>
    <x v="1"/>
    <s v="Large"/>
    <n v="3150000"/>
    <s v="Luxury"/>
  </r>
  <r>
    <s v="Sarjapur  Road"/>
    <n v="2100"/>
    <x v="2"/>
    <n v="2"/>
    <x v="2"/>
    <s v="Large"/>
    <n v="1250000"/>
    <s v="High"/>
  </r>
  <r>
    <s v="Vittasandra"/>
    <n v="1404"/>
    <x v="0"/>
    <n v="1"/>
    <x v="0"/>
    <s v="Medium"/>
    <n v="693000"/>
    <s v="Medium"/>
  </r>
  <r>
    <s v="Sarjapur  Road"/>
    <n v="2230"/>
    <x v="3"/>
    <n v="3"/>
    <x v="1"/>
    <s v="Large"/>
    <n v="2250000"/>
    <s v="High"/>
  </r>
  <r>
    <s v="Marathalli bridge"/>
    <n v="1544"/>
    <x v="2"/>
    <n v="2"/>
    <x v="2"/>
    <s v="Medium"/>
    <n v="1200000"/>
    <s v="High"/>
  </r>
  <r>
    <s v="Banashankari Stage III"/>
    <n v="1305"/>
    <x v="0"/>
    <n v="1"/>
    <x v="2"/>
    <s v="Medium"/>
    <n v="587000"/>
    <s v="Medium"/>
  </r>
  <r>
    <s v="Marathahalli"/>
    <n v="1230"/>
    <x v="0"/>
    <n v="2"/>
    <x v="0"/>
    <s v="Medium"/>
    <n v="800000"/>
    <s v="Medium"/>
  </r>
  <r>
    <s v="T.C PALYA"/>
    <n v="1200"/>
    <x v="0"/>
    <n v="0"/>
    <x v="0"/>
    <s v="Medium"/>
    <n v="650000"/>
    <s v="Medium"/>
  </r>
  <r>
    <s v="Harlur"/>
    <n v="1460"/>
    <x v="2"/>
    <n v="1"/>
    <x v="2"/>
    <s v="Medium"/>
    <n v="730000"/>
    <s v="Medium"/>
  </r>
  <r>
    <s v="Sarjapur  Road"/>
    <n v="1559"/>
    <x v="0"/>
    <n v="2"/>
    <x v="10"/>
    <s v="Medium"/>
    <n v="341850"/>
    <s v="Low"/>
  </r>
  <r>
    <s v="Gottigere"/>
    <n v="967"/>
    <x v="0"/>
    <n v="3"/>
    <x v="0"/>
    <s v="Small"/>
    <n v="450000"/>
    <s v="Low"/>
  </r>
  <r>
    <s v="Byatarayanapura"/>
    <n v="540"/>
    <x v="5"/>
    <n v="1"/>
    <x v="4"/>
    <s v="Small"/>
    <n v="360000"/>
    <s v="Low"/>
  </r>
  <r>
    <s v="Hormavu"/>
    <n v="715"/>
    <x v="5"/>
    <n v="2"/>
    <x v="4"/>
    <s v="Small"/>
    <n v="460000"/>
    <s v="Low"/>
  </r>
  <r>
    <s v="Whitefield"/>
    <n v="2500"/>
    <x v="2"/>
    <n v="2"/>
    <x v="2"/>
    <s v="Large"/>
    <n v="3130000"/>
    <s v="Luxury"/>
  </r>
  <r>
    <s v="Dooravani Nagar"/>
    <n v="1578"/>
    <x v="2"/>
    <n v="1"/>
    <x v="2"/>
    <s v="Medium"/>
    <n v="1800000"/>
    <s v="High"/>
  </r>
  <r>
    <s v="Mysore Road"/>
    <n v="1020"/>
    <x v="0"/>
    <n v="1"/>
    <x v="0"/>
    <s v="Medium"/>
    <n v="489500"/>
    <s v="Low"/>
  </r>
  <r>
    <s v="Jigani"/>
    <n v="1020"/>
    <x v="0"/>
    <n v="1"/>
    <x v="0"/>
    <s v="Medium"/>
    <n v="400000"/>
    <s v="Low"/>
  </r>
  <r>
    <s v="Koramangala"/>
    <n v="1253"/>
    <x v="0"/>
    <n v="1"/>
    <x v="0"/>
    <s v="Medium"/>
    <n v="1020000"/>
    <s v="High"/>
  </r>
  <r>
    <s v="JCR Layout"/>
    <n v="1180"/>
    <x v="0"/>
    <n v="2"/>
    <x v="0"/>
    <s v="Medium"/>
    <n v="420000"/>
    <s v="Low"/>
  </r>
  <r>
    <s v="Nehru Nagar"/>
    <n v="961"/>
    <x v="0"/>
    <n v="2"/>
    <x v="0"/>
    <s v="Small"/>
    <n v="380000"/>
    <s v="Low"/>
  </r>
  <r>
    <s v="Kanakapura"/>
    <n v="1419"/>
    <x v="2"/>
    <n v="3"/>
    <x v="2"/>
    <s v="Medium"/>
    <n v="750000"/>
    <s v="Medium"/>
  </r>
  <r>
    <s v="Harlur"/>
    <n v="1709"/>
    <x v="2"/>
    <n v="2"/>
    <x v="2"/>
    <s v="Medium"/>
    <n v="1500000"/>
    <s v="High"/>
  </r>
  <r>
    <s v="Papareddipalya"/>
    <n v="1600"/>
    <x v="0"/>
    <n v="0"/>
    <x v="0"/>
    <s v="Medium"/>
    <n v="1150000"/>
    <s v="High"/>
  </r>
  <r>
    <s v="Venkatapura"/>
    <n v="416"/>
    <x v="5"/>
    <n v="1"/>
    <x v="4"/>
    <s v="Small"/>
    <n v="185000"/>
    <s v="Low"/>
  </r>
  <r>
    <s v="Sanjay nagar"/>
    <n v="1100"/>
    <x v="0"/>
    <n v="2"/>
    <x v="0"/>
    <s v="Medium"/>
    <n v="980000"/>
    <s v="Medium"/>
  </r>
  <r>
    <s v="HSR Layout"/>
    <n v="1430"/>
    <x v="0"/>
    <n v="1"/>
    <x v="2"/>
    <s v="Medium"/>
    <n v="650000"/>
    <s v="Medium"/>
  </r>
  <r>
    <s v="Sneha Colony"/>
    <n v="1260"/>
    <x v="0"/>
    <n v="2"/>
    <x v="0"/>
    <s v="Medium"/>
    <n v="450000"/>
    <s v="Low"/>
  </r>
  <r>
    <s v="RMV Extension"/>
    <n v="1630"/>
    <x v="2"/>
    <n v="2"/>
    <x v="2"/>
    <s v="Medium"/>
    <n v="850000"/>
    <s v="Medium"/>
  </r>
  <r>
    <s v="Sarjapur  Road"/>
    <n v="1249"/>
    <x v="2"/>
    <n v="2"/>
    <x v="2"/>
    <s v="Medium"/>
    <n v="447100"/>
    <s v="Low"/>
  </r>
  <r>
    <s v="Kalena Agrahara"/>
    <n v="1450"/>
    <x v="0"/>
    <n v="3"/>
    <x v="2"/>
    <s v="Medium"/>
    <n v="850000"/>
    <s v="Medium"/>
  </r>
  <r>
    <s v="Konanakunte"/>
    <n v="2791"/>
    <x v="2"/>
    <n v="1"/>
    <x v="2"/>
    <s v="Large"/>
    <n v="2230000"/>
    <s v="High"/>
  </r>
  <r>
    <s v="Hosapalya"/>
    <n v="600"/>
    <x v="5"/>
    <n v="0"/>
    <x v="4"/>
    <s v="Small"/>
    <n v="900000"/>
    <s v="Medium"/>
  </r>
  <r>
    <s v="Ashwini layout"/>
    <n v="834"/>
    <x v="5"/>
    <n v="1"/>
    <x v="4"/>
    <s v="Small"/>
    <n v="600000"/>
    <s v="Medium"/>
  </r>
  <r>
    <s v="Doddagubbi"/>
    <n v="1125"/>
    <x v="3"/>
    <n v="1"/>
    <x v="2"/>
    <s v="Medium"/>
    <n v="700000"/>
    <s v="Medium"/>
  </r>
  <r>
    <s v="Arekere"/>
    <n v="2060"/>
    <x v="2"/>
    <n v="2"/>
    <x v="2"/>
    <s v="Large"/>
    <n v="1400000"/>
    <s v="High"/>
  </r>
  <r>
    <s v="Malleshwaram"/>
    <n v="12000"/>
    <x v="8"/>
    <n v="3"/>
    <x v="6"/>
    <s v="Large"/>
    <n v="22000000"/>
    <s v="Luxury"/>
  </r>
  <r>
    <s v="Gottigere"/>
    <n v="891"/>
    <x v="0"/>
    <n v="1"/>
    <x v="0"/>
    <s v="Small"/>
    <n v="250000"/>
    <s v="Low"/>
  </r>
  <r>
    <s v="Raja Rajeshwari Nagar"/>
    <n v="1133"/>
    <x v="0"/>
    <n v="1"/>
    <x v="0"/>
    <s v="Medium"/>
    <n v="490700"/>
    <s v="Low"/>
  </r>
  <r>
    <s v="Bisuvanahalli"/>
    <n v="1075"/>
    <x v="0"/>
    <n v="1"/>
    <x v="2"/>
    <s v="Medium"/>
    <n v="370000"/>
    <s v="Low"/>
  </r>
  <r>
    <s v="Sector 6 HSR Layout"/>
    <n v="3000"/>
    <x v="1"/>
    <n v="2"/>
    <x v="1"/>
    <s v="Large"/>
    <n v="2600000"/>
    <s v="High"/>
  </r>
  <r>
    <s v="Brookefield"/>
    <n v="2440"/>
    <x v="1"/>
    <n v="2"/>
    <x v="1"/>
    <s v="Large"/>
    <n v="4250000"/>
    <s v="Luxury"/>
  </r>
  <r>
    <s v="Vidyaranyapura"/>
    <n v="1200"/>
    <x v="0"/>
    <n v="2"/>
    <x v="0"/>
    <s v="Medium"/>
    <n v="550000"/>
    <s v="Medium"/>
  </r>
  <r>
    <s v="Thanisandra"/>
    <n v="1075"/>
    <x v="0"/>
    <n v="2"/>
    <x v="0"/>
    <s v="Medium"/>
    <n v="458000"/>
    <s v="Low"/>
  </r>
  <r>
    <s v="Kaggadasapura"/>
    <n v="1140"/>
    <x v="0"/>
    <n v="2"/>
    <x v="0"/>
    <s v="Medium"/>
    <n v="400000"/>
    <s v="Low"/>
  </r>
  <r>
    <s v="Margondanahalli"/>
    <n v="940"/>
    <x v="3"/>
    <n v="2"/>
    <x v="7"/>
    <s v="Small"/>
    <n v="1500000"/>
    <s v="High"/>
  </r>
  <r>
    <s v="ITI Layout"/>
    <n v="2160"/>
    <x v="1"/>
    <n v="1"/>
    <x v="3"/>
    <s v="Large"/>
    <n v="2500000"/>
    <s v="High"/>
  </r>
  <r>
    <s v="Raja Rajeshwari Nagar"/>
    <n v="1090"/>
    <x v="0"/>
    <n v="1"/>
    <x v="0"/>
    <s v="Medium"/>
    <n v="420000"/>
    <s v="Low"/>
  </r>
  <r>
    <s v="R.T. Nagar"/>
    <n v="1500"/>
    <x v="3"/>
    <n v="1"/>
    <x v="1"/>
    <s v="Medium"/>
    <n v="700000"/>
    <s v="Medium"/>
  </r>
  <r>
    <s v="Whitefield"/>
    <n v="4104"/>
    <x v="3"/>
    <n v="2"/>
    <x v="1"/>
    <s v="Large"/>
    <n v="3600000"/>
    <s v="Luxury"/>
  </r>
  <r>
    <s v="Whitefield"/>
    <n v="1790"/>
    <x v="2"/>
    <n v="2"/>
    <x v="2"/>
    <s v="Medium"/>
    <n v="1000000"/>
    <s v="Medium"/>
  </r>
  <r>
    <s v="Hebbal"/>
    <n v="1920"/>
    <x v="2"/>
    <n v="2"/>
    <x v="2"/>
    <s v="Medium"/>
    <n v="1340000"/>
    <s v="High"/>
  </r>
  <r>
    <s v="HRBR Layout"/>
    <n v="1374"/>
    <x v="0"/>
    <n v="2"/>
    <x v="0"/>
    <s v="Medium"/>
    <n v="950000"/>
    <s v="Medium"/>
  </r>
  <r>
    <s v="Bannerghatta Road"/>
    <n v="1445"/>
    <x v="2"/>
    <n v="2"/>
    <x v="2"/>
    <s v="Medium"/>
    <n v="950000"/>
    <s v="Medium"/>
  </r>
  <r>
    <s v="Kanakapura"/>
    <n v="711"/>
    <x v="5"/>
    <n v="1"/>
    <x v="4"/>
    <s v="Small"/>
    <n v="360000"/>
    <s v="Low"/>
  </r>
  <r>
    <s v="Tumkur Road"/>
    <n v="1500"/>
    <x v="2"/>
    <n v="3"/>
    <x v="2"/>
    <s v="Medium"/>
    <n v="950000"/>
    <s v="Medium"/>
  </r>
  <r>
    <s v="Whitefield"/>
    <n v="1720"/>
    <x v="2"/>
    <n v="3"/>
    <x v="2"/>
    <s v="Medium"/>
    <n v="1000000"/>
    <s v="Medium"/>
  </r>
  <r>
    <s v="Vasanthapura"/>
    <n v="1400"/>
    <x v="2"/>
    <n v="2"/>
    <x v="2"/>
    <s v="Medium"/>
    <n v="600000"/>
    <s v="Medium"/>
  </r>
  <r>
    <s v="Kundalahalli"/>
    <n v="1030"/>
    <x v="0"/>
    <n v="2"/>
    <x v="0"/>
    <s v="Medium"/>
    <n v="490000"/>
    <s v="Low"/>
  </r>
  <r>
    <s v="Mysore Road"/>
    <n v="1200"/>
    <x v="0"/>
    <n v="1"/>
    <x v="0"/>
    <s v="Medium"/>
    <n v="850000"/>
    <s v="Medium"/>
  </r>
  <r>
    <s v="Hosahalli"/>
    <n v="1375"/>
    <x v="2"/>
    <n v="2"/>
    <x v="2"/>
    <s v="Medium"/>
    <n v="700000"/>
    <s v="Medium"/>
  </r>
  <r>
    <s v="Hegde Nagar"/>
    <n v="1050"/>
    <x v="5"/>
    <n v="2"/>
    <x v="0"/>
    <s v="Medium"/>
    <n v="560000"/>
    <s v="Medium"/>
  </r>
  <r>
    <s v="Jalahalli"/>
    <n v="2250"/>
    <x v="2"/>
    <n v="2"/>
    <x v="2"/>
    <s v="Large"/>
    <n v="1600000"/>
    <s v="High"/>
  </r>
  <r>
    <s v="Bellandur"/>
    <n v="1000"/>
    <x v="0"/>
    <n v="2"/>
    <x v="0"/>
    <s v="Small"/>
    <n v="500000"/>
    <s v="Low"/>
  </r>
  <r>
    <s v="Jalahalli West"/>
    <n v="469"/>
    <x v="5"/>
    <n v="0"/>
    <x v="4"/>
    <s v="Small"/>
    <n v="250000"/>
    <s v="Low"/>
  </r>
  <r>
    <s v="Marathahalli"/>
    <n v="3800"/>
    <x v="3"/>
    <n v="3"/>
    <x v="1"/>
    <s v="Large"/>
    <n v="2500000"/>
    <s v="High"/>
  </r>
  <r>
    <s v="Kambipura"/>
    <n v="883"/>
    <x v="0"/>
    <n v="1"/>
    <x v="0"/>
    <s v="Small"/>
    <n v="290000"/>
    <s v="Low"/>
  </r>
  <r>
    <s v="GM Palaya"/>
    <n v="1820"/>
    <x v="0"/>
    <n v="3"/>
    <x v="2"/>
    <s v="Medium"/>
    <n v="860000"/>
    <s v="Medium"/>
  </r>
  <r>
    <s v="Singasandra"/>
    <n v="1440"/>
    <x v="0"/>
    <n v="3"/>
    <x v="2"/>
    <s v="Medium"/>
    <n v="650000"/>
    <s v="Medium"/>
  </r>
  <r>
    <s v="near Ramanashree California resort"/>
    <n v="3600"/>
    <x v="3"/>
    <n v="1"/>
    <x v="3"/>
    <s v="Large"/>
    <n v="1600000"/>
    <s v="High"/>
  </r>
  <r>
    <s v="Malleshwaram"/>
    <n v="2500"/>
    <x v="1"/>
    <n v="2"/>
    <x v="1"/>
    <s v="Large"/>
    <n v="3250000"/>
    <s v="Luxury"/>
  </r>
  <r>
    <s v="Mahadevpura"/>
    <n v="1225"/>
    <x v="0"/>
    <n v="2"/>
    <x v="0"/>
    <s v="Medium"/>
    <n v="480000"/>
    <s v="Low"/>
  </r>
  <r>
    <s v="6th block banashankari 3rd stage, 100 feet ORR"/>
    <n v="4000"/>
    <x v="2"/>
    <n v="1"/>
    <x v="2"/>
    <s v="Large"/>
    <n v="6600000"/>
    <s v="Luxury"/>
  </r>
  <r>
    <s v="Chikkalasandra"/>
    <n v="875"/>
    <x v="0"/>
    <n v="3"/>
    <x v="0"/>
    <s v="Small"/>
    <n v="528000"/>
    <s v="Medium"/>
  </r>
  <r>
    <s v="Jalahalli East"/>
    <n v="750"/>
    <x v="5"/>
    <n v="2"/>
    <x v="4"/>
    <s v="Small"/>
    <n v="400000"/>
    <s v="Low"/>
  </r>
  <r>
    <s v="6th Phase JP Nagar"/>
    <n v="1180"/>
    <x v="0"/>
    <n v="3"/>
    <x v="0"/>
    <s v="Medium"/>
    <n v="800000"/>
    <s v="Medium"/>
  </r>
  <r>
    <s v="Haralur Road"/>
    <n v="1194"/>
    <x v="0"/>
    <n v="2"/>
    <x v="0"/>
    <s v="Medium"/>
    <n v="470000"/>
    <s v="Low"/>
  </r>
  <r>
    <s v="Hennur Road"/>
    <n v="1500"/>
    <x v="0"/>
    <n v="2"/>
    <x v="2"/>
    <s v="Medium"/>
    <n v="620000"/>
    <s v="Medium"/>
  </r>
  <r>
    <s v="Poornapragna Housing Society Layout"/>
    <n v="1160"/>
    <x v="0"/>
    <n v="2"/>
    <x v="0"/>
    <s v="Medium"/>
    <n v="522000"/>
    <s v="Medium"/>
  </r>
  <r>
    <s v="Arekere"/>
    <n v="1559"/>
    <x v="6"/>
    <n v="2"/>
    <x v="9"/>
    <s v="Medium"/>
    <n v="2650000"/>
    <s v="High"/>
  </r>
  <r>
    <s v="Hosakerehalli"/>
    <n v="2378"/>
    <x v="2"/>
    <n v="1"/>
    <x v="2"/>
    <s v="Large"/>
    <n v="2620000"/>
    <s v="High"/>
  </r>
  <r>
    <s v="Sarjapur"/>
    <n v="1128"/>
    <x v="0"/>
    <n v="1"/>
    <x v="0"/>
    <s v="Medium"/>
    <n v="600000"/>
    <s v="Medium"/>
  </r>
  <r>
    <s v="Hebbal"/>
    <n v="1500"/>
    <x v="2"/>
    <n v="1"/>
    <x v="2"/>
    <s v="Medium"/>
    <n v="1500000"/>
    <s v="High"/>
  </r>
  <r>
    <s v="Huskur"/>
    <n v="1220"/>
    <x v="0"/>
    <n v="1"/>
    <x v="2"/>
    <s v="Medium"/>
    <n v="352300"/>
    <s v="Low"/>
  </r>
  <r>
    <s v="Sarjapur  Road"/>
    <n v="1210"/>
    <x v="0"/>
    <n v="2"/>
    <x v="0"/>
    <s v="Medium"/>
    <n v="580000"/>
    <s v="Medium"/>
  </r>
  <r>
    <s v="Kanakpura Road"/>
    <n v="1100"/>
    <x v="0"/>
    <n v="1"/>
    <x v="2"/>
    <s v="Medium"/>
    <n v="580000"/>
    <s v="Medium"/>
  </r>
  <r>
    <s v="Bommasandra"/>
    <n v="1200"/>
    <x v="2"/>
    <n v="2"/>
    <x v="2"/>
    <s v="Medium"/>
    <n v="460000"/>
    <s v="Low"/>
  </r>
  <r>
    <s v="Haralur Road"/>
    <n v="3385"/>
    <x v="1"/>
    <n v="2"/>
    <x v="1"/>
    <s v="Large"/>
    <n v="2600000"/>
    <s v="High"/>
  </r>
  <r>
    <s v="Nagondanahalli"/>
    <n v="1641"/>
    <x v="2"/>
    <n v="2"/>
    <x v="2"/>
    <s v="Medium"/>
    <n v="660000"/>
    <s v="Medium"/>
  </r>
  <r>
    <s v="Horamavu Agara"/>
    <n v="1200"/>
    <x v="0"/>
    <n v="1"/>
    <x v="0"/>
    <s v="Medium"/>
    <n v="450000"/>
    <s v="Low"/>
  </r>
  <r>
    <s v="Raja Rajeshwari Nagar"/>
    <n v="1260"/>
    <x v="0"/>
    <n v="1"/>
    <x v="0"/>
    <s v="Medium"/>
    <n v="673900"/>
    <s v="Medium"/>
  </r>
  <r>
    <s v="Mahadevpura"/>
    <n v="1720"/>
    <x v="2"/>
    <n v="3"/>
    <x v="2"/>
    <s v="Medium"/>
    <n v="780000"/>
    <s v="Medium"/>
  </r>
  <r>
    <s v="Yelahanka"/>
    <n v="1559"/>
    <x v="0"/>
    <n v="0"/>
    <x v="0"/>
    <s v="Medium"/>
    <n v="481300"/>
    <s v="Low"/>
  </r>
  <r>
    <s v="Yelahanka"/>
    <n v="1210"/>
    <x v="0"/>
    <n v="1"/>
    <x v="0"/>
    <s v="Medium"/>
    <n v="459800"/>
    <s v="Low"/>
  </r>
  <r>
    <s v="Indira Nagar"/>
    <n v="2200"/>
    <x v="3"/>
    <n v="2"/>
    <x v="1"/>
    <s v="Large"/>
    <n v="2000000"/>
    <s v="High"/>
  </r>
  <r>
    <s v="Bisuvanahalli"/>
    <n v="1075"/>
    <x v="0"/>
    <n v="1"/>
    <x v="2"/>
    <s v="Medium"/>
    <n v="450000"/>
    <s v="Low"/>
  </r>
  <r>
    <s v="Thanisandra"/>
    <n v="1702"/>
    <x v="2"/>
    <n v="2"/>
    <x v="2"/>
    <s v="Medium"/>
    <n v="1300000"/>
    <s v="High"/>
  </r>
  <r>
    <s v="Shanthala Nagar"/>
    <n v="1630"/>
    <x v="0"/>
    <n v="2"/>
    <x v="0"/>
    <s v="Medium"/>
    <n v="2000000"/>
    <s v="High"/>
  </r>
  <r>
    <s v="Raja Rajeshwari Nagar"/>
    <n v="1141"/>
    <x v="0"/>
    <n v="2"/>
    <x v="0"/>
    <s v="Medium"/>
    <n v="385500"/>
    <s v="Low"/>
  </r>
  <r>
    <s v="Shantiniketan Layout"/>
    <n v="2072"/>
    <x v="2"/>
    <n v="2"/>
    <x v="2"/>
    <s v="Large"/>
    <n v="1080000"/>
    <s v="High"/>
  </r>
  <r>
    <s v="JP Nagar"/>
    <n v="1559"/>
    <x v="0"/>
    <n v="2"/>
    <x v="7"/>
    <s v="Medium"/>
    <n v="3750000"/>
    <s v="Luxury"/>
  </r>
  <r>
    <s v="Herohalli"/>
    <n v="1200"/>
    <x v="0"/>
    <n v="0"/>
    <x v="2"/>
    <s v="Medium"/>
    <n v="700000"/>
    <s v="Medium"/>
  </r>
  <r>
    <s v="Teachers Colony"/>
    <n v="1350"/>
    <x v="2"/>
    <n v="0"/>
    <x v="2"/>
    <s v="Medium"/>
    <n v="770000"/>
    <s v="Medium"/>
  </r>
  <r>
    <s v="Bettahalsoor"/>
    <n v="1559"/>
    <x v="3"/>
    <n v="0"/>
    <x v="1"/>
    <s v="Medium"/>
    <n v="4450000"/>
    <s v="Luxury"/>
  </r>
  <r>
    <s v="Srinivasa Nagar"/>
    <n v="1180"/>
    <x v="0"/>
    <n v="2"/>
    <x v="2"/>
    <s v="Medium"/>
    <n v="783400"/>
    <s v="Medium"/>
  </r>
  <r>
    <s v="Yelahanka"/>
    <n v="35000"/>
    <x v="2"/>
    <n v="3"/>
    <x v="2"/>
    <s v="Large"/>
    <n v="1300000"/>
    <s v="High"/>
  </r>
  <r>
    <s v="Langford Town"/>
    <n v="1355"/>
    <x v="0"/>
    <n v="2"/>
    <x v="0"/>
    <s v="Medium"/>
    <n v="1150000"/>
    <s v="High"/>
  </r>
  <r>
    <s v="Sulthangunta"/>
    <n v="600"/>
    <x v="5"/>
    <n v="0"/>
    <x v="4"/>
    <s v="Small"/>
    <n v="500000"/>
    <s v="Low"/>
  </r>
  <r>
    <s v="Hormavu"/>
    <n v="1200"/>
    <x v="8"/>
    <n v="2"/>
    <x v="6"/>
    <s v="Medium"/>
    <n v="1500000"/>
    <s v="High"/>
  </r>
  <r>
    <s v="Bannerghatta Road"/>
    <n v="1640"/>
    <x v="0"/>
    <n v="1"/>
    <x v="2"/>
    <s v="Medium"/>
    <n v="1200000"/>
    <s v="High"/>
  </r>
  <r>
    <s v="Byrathi Village"/>
    <n v="1200"/>
    <x v="1"/>
    <n v="0"/>
    <x v="7"/>
    <s v="Medium"/>
    <n v="1000000"/>
    <s v="Medium"/>
  </r>
  <r>
    <s v="Kodichikkanahalli"/>
    <n v="1190"/>
    <x v="0"/>
    <n v="2"/>
    <x v="2"/>
    <s v="Medium"/>
    <n v="570000"/>
    <s v="Medium"/>
  </r>
  <r>
    <s v="OMBR Layout"/>
    <n v="2400"/>
    <x v="3"/>
    <n v="2"/>
    <x v="1"/>
    <s v="Large"/>
    <n v="3750000"/>
    <s v="Luxury"/>
  </r>
  <r>
    <s v="Marathahalli"/>
    <n v="1019"/>
    <x v="0"/>
    <n v="2"/>
    <x v="0"/>
    <s v="Medium"/>
    <n v="498500"/>
    <s v="Low"/>
  </r>
  <r>
    <s v="Ambedkar Colony"/>
    <n v="1875"/>
    <x v="2"/>
    <n v="2"/>
    <x v="2"/>
    <s v="Medium"/>
    <n v="1650000"/>
    <s v="High"/>
  </r>
  <r>
    <s v="Akshaya Nagar"/>
    <n v="1250"/>
    <x v="2"/>
    <n v="2"/>
    <x v="2"/>
    <s v="Medium"/>
    <n v="400000"/>
    <s v="Low"/>
  </r>
  <r>
    <s v="Brookefield"/>
    <n v="1200"/>
    <x v="2"/>
    <n v="2"/>
    <x v="2"/>
    <s v="Medium"/>
    <n v="1400000"/>
    <s v="High"/>
  </r>
  <r>
    <s v="Whitefield"/>
    <n v="1140"/>
    <x v="0"/>
    <n v="1"/>
    <x v="0"/>
    <s v="Medium"/>
    <n v="560000"/>
    <s v="Medium"/>
  </r>
  <r>
    <s v="Lingadheeranahalli"/>
    <n v="1683"/>
    <x v="2"/>
    <n v="1"/>
    <x v="2"/>
    <s v="Medium"/>
    <n v="1090000"/>
    <s v="High"/>
  </r>
  <r>
    <s v="Kaggadasapura"/>
    <n v="1515"/>
    <x v="2"/>
    <n v="2"/>
    <x v="2"/>
    <s v="Medium"/>
    <n v="833000"/>
    <s v="Medium"/>
  </r>
  <r>
    <s v="Hoodi"/>
    <n v="2118"/>
    <x v="3"/>
    <n v="2"/>
    <x v="1"/>
    <s v="Large"/>
    <n v="1110000"/>
    <s v="High"/>
  </r>
  <r>
    <s v="Bannerghatta Road"/>
    <n v="1380"/>
    <x v="2"/>
    <n v="0"/>
    <x v="1"/>
    <s v="Medium"/>
    <n v="580000"/>
    <s v="Medium"/>
  </r>
  <r>
    <s v="Varthur Road"/>
    <n v="1083"/>
    <x v="0"/>
    <n v="2"/>
    <x v="0"/>
    <s v="Medium"/>
    <n v="617500"/>
    <s v="Medium"/>
  </r>
  <r>
    <s v="Anjappa Layout"/>
    <n v="600"/>
    <x v="0"/>
    <n v="1"/>
    <x v="0"/>
    <s v="Small"/>
    <n v="550000"/>
    <s v="Medium"/>
  </r>
  <r>
    <s v="Avalahalli"/>
    <n v="2300"/>
    <x v="2"/>
    <n v="3"/>
    <x v="2"/>
    <s v="Large"/>
    <n v="1200000"/>
    <s v="High"/>
  </r>
  <r>
    <s v="Prakruthi Nagar"/>
    <n v="1240"/>
    <x v="0"/>
    <n v="2"/>
    <x v="0"/>
    <s v="Medium"/>
    <n v="600000"/>
    <s v="Medium"/>
  </r>
  <r>
    <s v="Surabhi Layout"/>
    <n v="1750"/>
    <x v="2"/>
    <n v="1"/>
    <x v="2"/>
    <s v="Medium"/>
    <n v="1200000"/>
    <s v="High"/>
  </r>
  <r>
    <s v="Sadaramangala"/>
    <n v="1230"/>
    <x v="0"/>
    <n v="2"/>
    <x v="0"/>
    <s v="Medium"/>
    <n v="434800"/>
    <s v="Low"/>
  </r>
  <r>
    <s v="Anjanapura"/>
    <n v="1500"/>
    <x v="2"/>
    <n v="1"/>
    <x v="2"/>
    <s v="Medium"/>
    <n v="1390000"/>
    <s v="High"/>
  </r>
  <r>
    <s v="Abbigere"/>
    <n v="985"/>
    <x v="0"/>
    <n v="1"/>
    <x v="0"/>
    <s v="Small"/>
    <n v="403900"/>
    <s v="Low"/>
  </r>
  <r>
    <s v="Tindlu"/>
    <n v="1500"/>
    <x v="0"/>
    <n v="1"/>
    <x v="2"/>
    <s v="Medium"/>
    <n v="870000"/>
    <s v="Medium"/>
  </r>
  <r>
    <s v="Electronic City"/>
    <n v="1125"/>
    <x v="0"/>
    <n v="1"/>
    <x v="0"/>
    <s v="Medium"/>
    <n v="324900"/>
    <s v="Low"/>
  </r>
  <r>
    <s v="Maruthi Sevanagar"/>
    <n v="950"/>
    <x v="0"/>
    <n v="1"/>
    <x v="0"/>
    <s v="Small"/>
    <n v="440000"/>
    <s v="Low"/>
  </r>
  <r>
    <s v="JP Nagar"/>
    <n v="1559"/>
    <x v="0"/>
    <n v="2"/>
    <x v="7"/>
    <s v="Medium"/>
    <n v="5485000"/>
    <s v="Luxury"/>
  </r>
  <r>
    <s v="Kothanur"/>
    <n v="1580"/>
    <x v="2"/>
    <n v="3"/>
    <x v="2"/>
    <s v="Medium"/>
    <n v="760000"/>
    <s v="Medium"/>
  </r>
  <r>
    <s v="B Narayanapura"/>
    <n v="1092"/>
    <x v="0"/>
    <n v="1"/>
    <x v="2"/>
    <s v="Medium"/>
    <n v="985000"/>
    <s v="Medium"/>
  </r>
  <r>
    <s v="Electronic City Phase II"/>
    <n v="1090"/>
    <x v="0"/>
    <n v="1"/>
    <x v="0"/>
    <s v="Medium"/>
    <n v="283400"/>
    <s v="Low"/>
  </r>
  <r>
    <s v="Hennur Road"/>
    <n v="2264"/>
    <x v="2"/>
    <n v="1"/>
    <x v="2"/>
    <s v="Large"/>
    <n v="1590000"/>
    <s v="High"/>
  </r>
  <r>
    <s v="Dommasandra"/>
    <n v="1033"/>
    <x v="0"/>
    <n v="2"/>
    <x v="2"/>
    <s v="Medium"/>
    <n v="255300"/>
    <s v="Low"/>
  </r>
  <r>
    <s v="Kammasandra"/>
    <n v="810"/>
    <x v="0"/>
    <n v="2"/>
    <x v="0"/>
    <s v="Small"/>
    <n v="245000"/>
    <s v="Low"/>
  </r>
  <r>
    <s v="Green Garden Layout"/>
    <n v="1045"/>
    <x v="0"/>
    <n v="0"/>
    <x v="0"/>
    <s v="Medium"/>
    <n v="450000"/>
    <s v="Low"/>
  </r>
  <r>
    <s v="Hebbal"/>
    <n v="1337"/>
    <x v="0"/>
    <n v="1"/>
    <x v="0"/>
    <s v="Medium"/>
    <n v="820000"/>
    <s v="Medium"/>
  </r>
  <r>
    <s v="Chandapura"/>
    <n v="1200"/>
    <x v="0"/>
    <n v="2"/>
    <x v="0"/>
    <s v="Medium"/>
    <n v="320000"/>
    <s v="Low"/>
  </r>
  <r>
    <s v="Koramangala"/>
    <n v="1580"/>
    <x v="2"/>
    <n v="2"/>
    <x v="2"/>
    <s v="Medium"/>
    <n v="1600000"/>
    <s v="High"/>
  </r>
  <r>
    <s v="Begur Road"/>
    <n v="1500"/>
    <x v="0"/>
    <n v="3"/>
    <x v="2"/>
    <s v="Medium"/>
    <n v="540000"/>
    <s v="Medium"/>
  </r>
  <r>
    <s v="Whitefield"/>
    <n v="1640"/>
    <x v="3"/>
    <n v="2"/>
    <x v="2"/>
    <s v="Medium"/>
    <n v="910000"/>
    <s v="Medium"/>
  </r>
  <r>
    <s v="Silver Springs Layout"/>
    <n v="1570"/>
    <x v="2"/>
    <n v="2"/>
    <x v="2"/>
    <s v="Medium"/>
    <n v="620000"/>
    <s v="Medium"/>
  </r>
  <r>
    <s v="Gubbalala"/>
    <n v="1470"/>
    <x v="0"/>
    <n v="2"/>
    <x v="2"/>
    <s v="Medium"/>
    <n v="820000"/>
    <s v="Medium"/>
  </r>
  <r>
    <s v="Kengeri"/>
    <n v="1160"/>
    <x v="0"/>
    <n v="2"/>
    <x v="0"/>
    <s v="Medium"/>
    <n v="406100"/>
    <s v="Low"/>
  </r>
  <r>
    <s v="7th Phase JP Nagar"/>
    <n v="1050"/>
    <x v="0"/>
    <n v="1"/>
    <x v="0"/>
    <s v="Medium"/>
    <n v="710000"/>
    <s v="Medium"/>
  </r>
  <r>
    <s v="Dairy Circle"/>
    <n v="1855"/>
    <x v="2"/>
    <n v="1"/>
    <x v="2"/>
    <s v="Medium"/>
    <n v="2250000"/>
    <s v="High"/>
  </r>
  <r>
    <s v="Bannerghatta Road"/>
    <n v="1460"/>
    <x v="0"/>
    <n v="1"/>
    <x v="2"/>
    <s v="Medium"/>
    <n v="900000"/>
    <s v="Medium"/>
  </r>
  <r>
    <s v="Hulimavu"/>
    <n v="1823"/>
    <x v="2"/>
    <n v="2"/>
    <x v="2"/>
    <s v="Medium"/>
    <n v="1000000"/>
    <s v="Medium"/>
  </r>
  <r>
    <s v="Electronic City"/>
    <n v="1094"/>
    <x v="0"/>
    <n v="2"/>
    <x v="0"/>
    <s v="Medium"/>
    <n v="420000"/>
    <s v="Low"/>
  </r>
  <r>
    <s v="Budigere"/>
    <n v="1153"/>
    <x v="0"/>
    <n v="2"/>
    <x v="0"/>
    <s v="Medium"/>
    <n v="570000"/>
    <s v="Medium"/>
  </r>
  <r>
    <s v="Hoysalanagar"/>
    <n v="1325"/>
    <x v="2"/>
    <n v="1"/>
    <x v="2"/>
    <s v="Medium"/>
    <n v="570000"/>
    <s v="Medium"/>
  </r>
  <r>
    <s v="Parappana Agrahara"/>
    <n v="1200"/>
    <x v="2"/>
    <n v="2"/>
    <x v="1"/>
    <s v="Medium"/>
    <n v="850000"/>
    <s v="Medium"/>
  </r>
  <r>
    <s v="Jakkur"/>
    <n v="1590"/>
    <x v="0"/>
    <n v="2"/>
    <x v="2"/>
    <s v="Medium"/>
    <n v="1250000"/>
    <s v="High"/>
  </r>
  <r>
    <s v="Jeevan bima nagar"/>
    <n v="1210"/>
    <x v="3"/>
    <n v="2"/>
    <x v="7"/>
    <s v="Medium"/>
    <n v="1600000"/>
    <s v="High"/>
  </r>
  <r>
    <s v="Raja Rajeshwari Nagar"/>
    <n v="1200"/>
    <x v="3"/>
    <n v="0"/>
    <x v="1"/>
    <s v="Medium"/>
    <n v="2200000"/>
    <s v="High"/>
  </r>
  <r>
    <s v="Narayana Nagar 1st Block"/>
    <n v="1202"/>
    <x v="0"/>
    <n v="1"/>
    <x v="0"/>
    <s v="Medium"/>
    <n v="480000"/>
    <s v="Low"/>
  </r>
  <r>
    <s v="Haralur Road"/>
    <n v="1202"/>
    <x v="0"/>
    <n v="1"/>
    <x v="0"/>
    <s v="Medium"/>
    <n v="530000"/>
    <s v="Medium"/>
  </r>
  <r>
    <s v="KSRTC Layout"/>
    <n v="1200"/>
    <x v="0"/>
    <n v="3"/>
    <x v="0"/>
    <s v="Medium"/>
    <n v="625000"/>
    <s v="Medium"/>
  </r>
  <r>
    <s v="Panathur"/>
    <n v="1688"/>
    <x v="2"/>
    <n v="1"/>
    <x v="2"/>
    <s v="Medium"/>
    <n v="1180000"/>
    <s v="High"/>
  </r>
  <r>
    <s v="Kaval Byrasandra"/>
    <n v="1020"/>
    <x v="0"/>
    <n v="1"/>
    <x v="0"/>
    <s v="Medium"/>
    <n v="520000"/>
    <s v="Medium"/>
  </r>
  <r>
    <s v="Sarjapur"/>
    <n v="1185"/>
    <x v="0"/>
    <n v="2"/>
    <x v="0"/>
    <s v="Medium"/>
    <n v="470000"/>
    <s v="Low"/>
  </r>
  <r>
    <s v="Ramagondanahalli"/>
    <n v="1235"/>
    <x v="0"/>
    <n v="1"/>
    <x v="0"/>
    <s v="Medium"/>
    <n v="520400"/>
    <s v="Medium"/>
  </r>
  <r>
    <s v="Hosakerehalli"/>
    <n v="3205"/>
    <x v="1"/>
    <n v="1"/>
    <x v="1"/>
    <s v="Large"/>
    <n v="5000000"/>
    <s v="Luxury"/>
  </r>
  <r>
    <s v="Banashankari"/>
    <n v="1077"/>
    <x v="0"/>
    <n v="2"/>
    <x v="0"/>
    <s v="Medium"/>
    <n v="376400"/>
    <s v="Low"/>
  </r>
  <r>
    <s v="Kengeri Satellite Town"/>
    <n v="1415"/>
    <x v="0"/>
    <n v="3"/>
    <x v="2"/>
    <s v="Medium"/>
    <n v="660000"/>
    <s v="Medium"/>
  </r>
  <r>
    <s v="EPIP Zone"/>
    <n v="2330"/>
    <x v="2"/>
    <n v="2"/>
    <x v="2"/>
    <s v="Large"/>
    <n v="1620000"/>
    <s v="High"/>
  </r>
  <r>
    <s v="Whitefield"/>
    <n v="805"/>
    <x v="0"/>
    <n v="2"/>
    <x v="0"/>
    <s v="Small"/>
    <n v="350000"/>
    <s v="Low"/>
  </r>
  <r>
    <s v="P&amp;T Colony"/>
    <n v="425"/>
    <x v="5"/>
    <n v="0"/>
    <x v="4"/>
    <s v="Small"/>
    <n v="200300"/>
    <s v="Low"/>
  </r>
  <r>
    <s v="Whitefield"/>
    <n v="1155"/>
    <x v="0"/>
    <n v="3"/>
    <x v="0"/>
    <s v="Medium"/>
    <n v="599500"/>
    <s v="Medium"/>
  </r>
  <r>
    <s v="Cunningham Road"/>
    <n v="5270"/>
    <x v="3"/>
    <n v="3"/>
    <x v="1"/>
    <s v="Large"/>
    <n v="12500000"/>
    <s v="Luxury"/>
  </r>
  <r>
    <s v="Anekal"/>
    <n v="656"/>
    <x v="0"/>
    <n v="1"/>
    <x v="0"/>
    <s v="Small"/>
    <n v="220000"/>
    <s v="Low"/>
  </r>
  <r>
    <s v="New Gurappana Palya"/>
    <n v="1100"/>
    <x v="0"/>
    <n v="0"/>
    <x v="0"/>
    <s v="Medium"/>
    <n v="480000"/>
    <s v="Low"/>
  </r>
  <r>
    <s v="Mahadevpura"/>
    <n v="1150"/>
    <x v="0"/>
    <n v="3"/>
    <x v="0"/>
    <s v="Medium"/>
    <n v="520000"/>
    <s v="Medium"/>
  </r>
  <r>
    <s v="Chelekare"/>
    <n v="600"/>
    <x v="5"/>
    <n v="1"/>
    <x v="4"/>
    <s v="Small"/>
    <n v="600000"/>
    <s v="Medium"/>
  </r>
  <r>
    <s v="Ambedkar Colony"/>
    <n v="1468"/>
    <x v="0"/>
    <n v="1"/>
    <x v="0"/>
    <s v="Medium"/>
    <n v="1400000"/>
    <s v="High"/>
  </r>
  <r>
    <s v="Palanahalli"/>
    <n v="4300"/>
    <x v="1"/>
    <n v="2"/>
    <x v="1"/>
    <s v="Large"/>
    <n v="5500000"/>
    <s v="Luxury"/>
  </r>
  <r>
    <s v="Whitefield"/>
    <n v="2280"/>
    <x v="3"/>
    <n v="2"/>
    <x v="2"/>
    <s v="Large"/>
    <n v="1260000"/>
    <s v="High"/>
  </r>
  <r>
    <s v="Hegde Nagar"/>
    <n v="1341"/>
    <x v="0"/>
    <n v="1"/>
    <x v="0"/>
    <s v="Medium"/>
    <n v="970000"/>
    <s v="Medium"/>
  </r>
  <r>
    <s v="Jakkur"/>
    <n v="1279"/>
    <x v="0"/>
    <n v="1"/>
    <x v="0"/>
    <s v="Medium"/>
    <n v="770000"/>
    <s v="Medium"/>
  </r>
  <r>
    <s v="Electronic City Phase II"/>
    <n v="2225"/>
    <x v="3"/>
    <n v="0"/>
    <x v="1"/>
    <s v="Large"/>
    <n v="988800"/>
    <s v="Medium"/>
  </r>
  <r>
    <s v="Thanisandra"/>
    <n v="1185"/>
    <x v="0"/>
    <n v="2"/>
    <x v="0"/>
    <s v="Medium"/>
    <n v="435100"/>
    <s v="Low"/>
  </r>
  <r>
    <s v="Vadarpalya"/>
    <n v="1750"/>
    <x v="2"/>
    <n v="2"/>
    <x v="2"/>
    <s v="Medium"/>
    <n v="850000"/>
    <s v="Medium"/>
  </r>
  <r>
    <s v="Kudlu"/>
    <n v="1152"/>
    <x v="0"/>
    <n v="1"/>
    <x v="0"/>
    <s v="Medium"/>
    <n v="535000"/>
    <s v="Medium"/>
  </r>
  <r>
    <s v="Shivanagar"/>
    <n v="1000"/>
    <x v="3"/>
    <n v="1"/>
    <x v="7"/>
    <s v="Small"/>
    <n v="1600000"/>
    <s v="High"/>
  </r>
  <r>
    <s v="Hulimavu"/>
    <n v="1300"/>
    <x v="0"/>
    <n v="3"/>
    <x v="0"/>
    <s v="Medium"/>
    <n v="360000"/>
    <s v="Low"/>
  </r>
  <r>
    <s v="Varthur Road"/>
    <n v="2760"/>
    <x v="3"/>
    <n v="2"/>
    <x v="1"/>
    <s v="Large"/>
    <n v="1550000"/>
    <s v="High"/>
  </r>
  <r>
    <s v="5th Phase JP Nagar"/>
    <n v="1070"/>
    <x v="0"/>
    <n v="2"/>
    <x v="0"/>
    <s v="Medium"/>
    <n v="390000"/>
    <s v="Low"/>
  </r>
  <r>
    <s v="Uttarahalli"/>
    <n v="1101"/>
    <x v="0"/>
    <n v="0"/>
    <x v="0"/>
    <s v="Medium"/>
    <n v="450000"/>
    <s v="Low"/>
  </r>
  <r>
    <s v="V.V Puram"/>
    <n v="775"/>
    <x v="0"/>
    <n v="1"/>
    <x v="0"/>
    <s v="Small"/>
    <n v="550000"/>
    <s v="Medium"/>
  </r>
  <r>
    <s v="Yeshwanthpur"/>
    <n v="667"/>
    <x v="5"/>
    <n v="1"/>
    <x v="4"/>
    <s v="Small"/>
    <n v="368500"/>
    <s v="Low"/>
  </r>
  <r>
    <s v="Electronic City"/>
    <n v="1070"/>
    <x v="0"/>
    <n v="1"/>
    <x v="0"/>
    <s v="Medium"/>
    <n v="550000"/>
    <s v="Medium"/>
  </r>
  <r>
    <s v="Old Airport Road"/>
    <n v="1875"/>
    <x v="0"/>
    <n v="2"/>
    <x v="2"/>
    <s v="Medium"/>
    <n v="1100000"/>
    <s v="High"/>
  </r>
  <r>
    <s v="Kundalahalli"/>
    <n v="735"/>
    <x v="0"/>
    <n v="1"/>
    <x v="0"/>
    <s v="Small"/>
    <n v="579900"/>
    <s v="Medium"/>
  </r>
  <r>
    <s v="Sarjapur"/>
    <n v="4360"/>
    <x v="3"/>
    <n v="1"/>
    <x v="7"/>
    <s v="Large"/>
    <n v="900000"/>
    <s v="Medium"/>
  </r>
  <r>
    <s v="Koramangala"/>
    <n v="1750"/>
    <x v="2"/>
    <n v="2"/>
    <x v="2"/>
    <s v="Medium"/>
    <n v="1300000"/>
    <s v="High"/>
  </r>
  <r>
    <s v="Marathahalli"/>
    <n v="1215"/>
    <x v="0"/>
    <n v="1"/>
    <x v="0"/>
    <s v="Medium"/>
    <n v="670000"/>
    <s v="Medium"/>
  </r>
  <r>
    <s v="Sector 3 HSR Layout"/>
    <n v="600"/>
    <x v="6"/>
    <n v="3"/>
    <x v="9"/>
    <s v="Small"/>
    <n v="1900000"/>
    <s v="High"/>
  </r>
  <r>
    <s v="Vishwapriya Layout"/>
    <n v="820"/>
    <x v="0"/>
    <n v="1"/>
    <x v="0"/>
    <s v="Small"/>
    <n v="300000"/>
    <s v="Low"/>
  </r>
  <r>
    <s v="Banashankari Stage VI"/>
    <n v="1559"/>
    <x v="0"/>
    <n v="0"/>
    <x v="0"/>
    <s v="Medium"/>
    <n v="599350"/>
    <s v="Medium"/>
  </r>
  <r>
    <s v="Battarahalli"/>
    <n v="1779"/>
    <x v="2"/>
    <n v="2"/>
    <x v="2"/>
    <s v="Medium"/>
    <n v="896100"/>
    <s v="Medium"/>
  </r>
  <r>
    <s v="HMT Layout"/>
    <n v="1105"/>
    <x v="0"/>
    <n v="2"/>
    <x v="0"/>
    <s v="Medium"/>
    <n v="580000"/>
    <s v="Medium"/>
  </r>
  <r>
    <s v="Basavanagara"/>
    <n v="1559"/>
    <x v="0"/>
    <n v="1"/>
    <x v="4"/>
    <s v="Medium"/>
    <n v="930000"/>
    <s v="Medium"/>
  </r>
  <r>
    <s v="Whitefield"/>
    <n v="1650"/>
    <x v="2"/>
    <n v="2"/>
    <x v="2"/>
    <s v="Medium"/>
    <n v="600000"/>
    <s v="Medium"/>
  </r>
  <r>
    <s v="Jalahalli"/>
    <n v="1694"/>
    <x v="0"/>
    <n v="2"/>
    <x v="0"/>
    <s v="Medium"/>
    <n v="1500000"/>
    <s v="High"/>
  </r>
  <r>
    <s v="Hosakerehalli"/>
    <n v="2376"/>
    <x v="2"/>
    <n v="1"/>
    <x v="2"/>
    <s v="Large"/>
    <n v="2030000"/>
    <s v="High"/>
  </r>
  <r>
    <s v="Cox Town"/>
    <n v="1975"/>
    <x v="2"/>
    <n v="3"/>
    <x v="2"/>
    <s v="Medium"/>
    <n v="1500000"/>
    <s v="High"/>
  </r>
  <r>
    <s v="Kammasandra"/>
    <n v="674"/>
    <x v="0"/>
    <n v="1"/>
    <x v="0"/>
    <s v="Small"/>
    <n v="330000"/>
    <s v="Low"/>
  </r>
  <r>
    <s v="Kaggadasapura"/>
    <n v="1185"/>
    <x v="0"/>
    <n v="1"/>
    <x v="0"/>
    <s v="Medium"/>
    <n v="410000"/>
    <s v="Low"/>
  </r>
  <r>
    <s v="Thanisandra"/>
    <n v="445"/>
    <x v="5"/>
    <n v="0"/>
    <x v="4"/>
    <s v="Small"/>
    <n v="280000"/>
    <s v="Low"/>
  </r>
  <r>
    <s v="Mylasandra"/>
    <n v="900"/>
    <x v="8"/>
    <n v="2"/>
    <x v="3"/>
    <s v="Small"/>
    <n v="760000"/>
    <s v="Medium"/>
  </r>
  <r>
    <s v="HSR Layout"/>
    <n v="1475"/>
    <x v="2"/>
    <n v="2"/>
    <x v="2"/>
    <s v="Medium"/>
    <n v="750000"/>
    <s v="Medium"/>
  </r>
  <r>
    <s v="Gottigere"/>
    <n v="1618"/>
    <x v="2"/>
    <n v="3"/>
    <x v="2"/>
    <s v="Medium"/>
    <n v="825000"/>
    <s v="Medium"/>
  </r>
  <r>
    <s v="Koramangala"/>
    <n v="1120"/>
    <x v="0"/>
    <n v="0"/>
    <x v="0"/>
    <s v="Medium"/>
    <n v="650000"/>
    <s v="Medium"/>
  </r>
  <r>
    <s v="Marathahalli"/>
    <n v="2181"/>
    <x v="2"/>
    <n v="2"/>
    <x v="1"/>
    <s v="Large"/>
    <n v="1520000"/>
    <s v="High"/>
  </r>
  <r>
    <s v="Vidyaranyapura"/>
    <n v="1200"/>
    <x v="3"/>
    <n v="0"/>
    <x v="1"/>
    <s v="Medium"/>
    <n v="900000"/>
    <s v="Medium"/>
  </r>
  <r>
    <s v="Nagondanahalli"/>
    <n v="600"/>
    <x v="3"/>
    <n v="3"/>
    <x v="3"/>
    <s v="Small"/>
    <n v="650000"/>
    <s v="Medium"/>
  </r>
  <r>
    <s v="Bannerghatta Road"/>
    <n v="1556"/>
    <x v="0"/>
    <n v="1"/>
    <x v="2"/>
    <s v="Medium"/>
    <n v="591300"/>
    <s v="Medium"/>
  </r>
  <r>
    <s v="Bannerghatta Road"/>
    <n v="1179"/>
    <x v="0"/>
    <n v="1"/>
    <x v="0"/>
    <s v="Medium"/>
    <n v="660200"/>
    <s v="Medium"/>
  </r>
  <r>
    <s v="Thanisandra"/>
    <n v="1296"/>
    <x v="0"/>
    <n v="2"/>
    <x v="0"/>
    <s v="Medium"/>
    <n v="830000"/>
    <s v="Medium"/>
  </r>
  <r>
    <s v="Kaggadasapura"/>
    <n v="1275"/>
    <x v="0"/>
    <n v="2"/>
    <x v="0"/>
    <s v="Medium"/>
    <n v="520000"/>
    <s v="Medium"/>
  </r>
  <r>
    <s v="Kalasipalya"/>
    <n v="1875"/>
    <x v="0"/>
    <n v="2"/>
    <x v="6"/>
    <s v="Medium"/>
    <n v="3000000"/>
    <s v="High"/>
  </r>
  <r>
    <s v="Kathriguppe"/>
    <n v="1400"/>
    <x v="0"/>
    <n v="2"/>
    <x v="2"/>
    <s v="Medium"/>
    <n v="770000"/>
    <s v="Medium"/>
  </r>
  <r>
    <s v="Gottigere"/>
    <n v="1222"/>
    <x v="0"/>
    <n v="1"/>
    <x v="0"/>
    <s v="Medium"/>
    <n v="630000"/>
    <s v="Medium"/>
  </r>
  <r>
    <s v="Electronic City"/>
    <n v="940"/>
    <x v="0"/>
    <n v="1"/>
    <x v="0"/>
    <s v="Small"/>
    <n v="410000"/>
    <s v="Low"/>
  </r>
  <r>
    <s v="Thanisandra"/>
    <n v="1185"/>
    <x v="0"/>
    <n v="2"/>
    <x v="0"/>
    <s v="Medium"/>
    <n v="426000"/>
    <s v="Low"/>
  </r>
  <r>
    <s v="Tumkur Road"/>
    <n v="1779"/>
    <x v="2"/>
    <n v="2"/>
    <x v="2"/>
    <s v="Medium"/>
    <n v="1120000"/>
    <s v="High"/>
  </r>
  <r>
    <s v="Begur Road"/>
    <n v="1615"/>
    <x v="2"/>
    <n v="2"/>
    <x v="2"/>
    <s v="Medium"/>
    <n v="597600"/>
    <s v="Medium"/>
  </r>
  <r>
    <s v="JP Nagar"/>
    <n v="1559"/>
    <x v="0"/>
    <n v="2"/>
    <x v="1"/>
    <s v="Medium"/>
    <n v="4530000"/>
    <s v="Luxury"/>
  </r>
  <r>
    <s v="Haralur Road"/>
    <n v="1056"/>
    <x v="0"/>
    <n v="1"/>
    <x v="0"/>
    <s v="Medium"/>
    <n v="610000"/>
    <s v="Medium"/>
  </r>
  <r>
    <s v="7th Phase JP Nagar"/>
    <n v="1100"/>
    <x v="0"/>
    <n v="0"/>
    <x v="0"/>
    <s v="Medium"/>
    <n v="460000"/>
    <s v="Low"/>
  </r>
  <r>
    <s v="Arekere"/>
    <n v="920"/>
    <x v="0"/>
    <n v="1"/>
    <x v="0"/>
    <s v="Small"/>
    <n v="400000"/>
    <s v="Low"/>
  </r>
  <r>
    <s v="ITI Layout"/>
    <n v="1602"/>
    <x v="0"/>
    <n v="0"/>
    <x v="2"/>
    <s v="Medium"/>
    <n v="750000"/>
    <s v="Medium"/>
  </r>
  <r>
    <s v="Padmanabhanagar"/>
    <n v="1176"/>
    <x v="0"/>
    <n v="0"/>
    <x v="0"/>
    <s v="Medium"/>
    <n v="620000"/>
    <s v="Medium"/>
  </r>
  <r>
    <s v="HBR Layout"/>
    <n v="675"/>
    <x v="2"/>
    <n v="1"/>
    <x v="1"/>
    <s v="Small"/>
    <n v="590000"/>
    <s v="Medium"/>
  </r>
  <r>
    <s v="Richmond Town"/>
    <n v="1352"/>
    <x v="2"/>
    <n v="0"/>
    <x v="2"/>
    <s v="Medium"/>
    <n v="1350000"/>
    <s v="High"/>
  </r>
  <r>
    <s v="Kasavanhalli"/>
    <n v="1717"/>
    <x v="2"/>
    <n v="3"/>
    <x v="2"/>
    <s v="Medium"/>
    <n v="990000"/>
    <s v="Medium"/>
  </r>
  <r>
    <s v="4 Bedroom Farm House in Bagalur"/>
    <n v="10961"/>
    <x v="3"/>
    <n v="1"/>
    <x v="1"/>
    <s v="Large"/>
    <n v="800000"/>
    <s v="Medium"/>
  </r>
  <r>
    <s v="Bhoganhalli"/>
    <n v="2119"/>
    <x v="3"/>
    <n v="3"/>
    <x v="1"/>
    <s v="Large"/>
    <n v="1110000"/>
    <s v="High"/>
  </r>
  <r>
    <s v="Vittasandra"/>
    <n v="1246"/>
    <x v="0"/>
    <n v="1"/>
    <x v="0"/>
    <s v="Medium"/>
    <n v="673000"/>
    <s v="Medium"/>
  </r>
  <r>
    <s v="Anandapura"/>
    <n v="1141"/>
    <x v="0"/>
    <n v="1"/>
    <x v="0"/>
    <s v="Medium"/>
    <n v="427900"/>
    <s v="Low"/>
  </r>
  <r>
    <s v="Hennur Road"/>
    <n v="1157"/>
    <x v="0"/>
    <n v="1"/>
    <x v="0"/>
    <s v="Medium"/>
    <n v="840000"/>
    <s v="Medium"/>
  </r>
  <r>
    <s v="Chandapura"/>
    <n v="1025"/>
    <x v="0"/>
    <n v="2"/>
    <x v="0"/>
    <s v="Medium"/>
    <n v="276800"/>
    <s v="Low"/>
  </r>
  <r>
    <s v="Yelahanka New Town"/>
    <n v="650"/>
    <x v="5"/>
    <n v="2"/>
    <x v="4"/>
    <s v="Small"/>
    <n v="330000"/>
    <s v="Low"/>
  </r>
  <r>
    <s v="Hebbal"/>
    <n v="1349"/>
    <x v="0"/>
    <n v="1"/>
    <x v="0"/>
    <s v="Medium"/>
    <n v="980000"/>
    <s v="Medium"/>
  </r>
  <r>
    <s v="Narayanapura"/>
    <n v="1566"/>
    <x v="2"/>
    <n v="1"/>
    <x v="2"/>
    <s v="Medium"/>
    <n v="833000"/>
    <s v="Medium"/>
  </r>
  <r>
    <s v="Sahakara Nagar"/>
    <n v="2830"/>
    <x v="2"/>
    <n v="3"/>
    <x v="1"/>
    <s v="Large"/>
    <n v="1950000"/>
    <s v="High"/>
  </r>
  <r>
    <s v="Electronic City"/>
    <n v="1320"/>
    <x v="0"/>
    <n v="1"/>
    <x v="2"/>
    <s v="Medium"/>
    <n v="381300"/>
    <s v="Low"/>
  </r>
  <r>
    <s v="manyata park"/>
    <n v="1780"/>
    <x v="2"/>
    <n v="1"/>
    <x v="2"/>
    <s v="Medium"/>
    <n v="848300"/>
    <s v="Medium"/>
  </r>
  <r>
    <s v="Varthur"/>
    <n v="1091"/>
    <x v="0"/>
    <n v="1"/>
    <x v="0"/>
    <s v="Medium"/>
    <n v="349000"/>
    <s v="Low"/>
  </r>
  <r>
    <s v="Rachenahalli"/>
    <n v="3670"/>
    <x v="3"/>
    <n v="3"/>
    <x v="1"/>
    <s v="Large"/>
    <n v="3000000"/>
    <s v="High"/>
  </r>
  <r>
    <s v="7th Phase JP Nagar"/>
    <n v="918"/>
    <x v="0"/>
    <n v="1"/>
    <x v="0"/>
    <s v="Small"/>
    <n v="504900"/>
    <s v="Medium"/>
  </r>
  <r>
    <s v="Yeshwanthpur"/>
    <n v="1950"/>
    <x v="3"/>
    <n v="0"/>
    <x v="1"/>
    <s v="Medium"/>
    <n v="1300000"/>
    <s v="High"/>
  </r>
  <r>
    <s v="Panathur"/>
    <n v="1695"/>
    <x v="2"/>
    <n v="1"/>
    <x v="2"/>
    <s v="Medium"/>
    <n v="900000"/>
    <s v="Medium"/>
  </r>
  <r>
    <s v="Yelahanka"/>
    <n v="1705"/>
    <x v="2"/>
    <n v="2"/>
    <x v="2"/>
    <s v="Medium"/>
    <n v="950000"/>
    <s v="Medium"/>
  </r>
  <r>
    <s v="Kalyan nagar"/>
    <n v="1375"/>
    <x v="2"/>
    <n v="2"/>
    <x v="2"/>
    <s v="Medium"/>
    <n v="750000"/>
    <s v="Medium"/>
  </r>
  <r>
    <s v="Kanakpura Road"/>
    <n v="525"/>
    <x v="5"/>
    <n v="1"/>
    <x v="4"/>
    <s v="Small"/>
    <n v="300000"/>
    <s v="Low"/>
  </r>
  <r>
    <s v="Whitefield"/>
    <n v="1447"/>
    <x v="0"/>
    <n v="1"/>
    <x v="0"/>
    <s v="Medium"/>
    <n v="830000"/>
    <s v="Medium"/>
  </r>
  <r>
    <s v="Thanisandra"/>
    <n v="1114"/>
    <x v="0"/>
    <n v="1"/>
    <x v="0"/>
    <s v="Medium"/>
    <n v="390000"/>
    <s v="Low"/>
  </r>
  <r>
    <s v="7th Phase JP Nagar"/>
    <n v="1450"/>
    <x v="0"/>
    <n v="1"/>
    <x v="2"/>
    <s v="Medium"/>
    <n v="1000000"/>
    <s v="Medium"/>
  </r>
  <r>
    <s v="Belathur"/>
    <n v="460"/>
    <x v="5"/>
    <n v="0"/>
    <x v="0"/>
    <s v="Small"/>
    <n v="150000"/>
    <s v="Low"/>
  </r>
  <r>
    <s v="Vasanthapura"/>
    <n v="1022"/>
    <x v="0"/>
    <n v="2"/>
    <x v="0"/>
    <s v="Medium"/>
    <n v="400000"/>
    <s v="Low"/>
  </r>
  <r>
    <s v="Hebbal"/>
    <n v="1000"/>
    <x v="0"/>
    <n v="2"/>
    <x v="0"/>
    <s v="Small"/>
    <n v="450000"/>
    <s v="Low"/>
  </r>
  <r>
    <s v="Electronic City"/>
    <n v="1128"/>
    <x v="0"/>
    <n v="1"/>
    <x v="0"/>
    <s v="Medium"/>
    <n v="687500"/>
    <s v="Medium"/>
  </r>
  <r>
    <s v="Kanakpura Road"/>
    <n v="1180"/>
    <x v="0"/>
    <n v="2"/>
    <x v="0"/>
    <s v="Medium"/>
    <n v="570000"/>
    <s v="Medium"/>
  </r>
  <r>
    <s v="TC Palaya"/>
    <n v="1000"/>
    <x v="4"/>
    <n v="1"/>
    <x v="3"/>
    <s v="Small"/>
    <n v="690000"/>
    <s v="Medium"/>
  </r>
  <r>
    <s v="Nagarbhavi"/>
    <n v="1200"/>
    <x v="0"/>
    <n v="1"/>
    <x v="0"/>
    <s v="Medium"/>
    <n v="1500000"/>
    <s v="High"/>
  </r>
  <r>
    <s v="Sadashiva Nagar"/>
    <n v="3761"/>
    <x v="2"/>
    <n v="2"/>
    <x v="2"/>
    <s v="Large"/>
    <n v="6600000"/>
    <s v="Luxury"/>
  </r>
  <r>
    <s v="Kanakpura Road"/>
    <n v="1339"/>
    <x v="0"/>
    <n v="3"/>
    <x v="0"/>
    <s v="Medium"/>
    <n v="750000"/>
    <s v="Medium"/>
  </r>
  <r>
    <s v="Yelachenahalli"/>
    <n v="1400"/>
    <x v="0"/>
    <n v="3"/>
    <x v="2"/>
    <s v="Medium"/>
    <n v="550000"/>
    <s v="Medium"/>
  </r>
  <r>
    <s v="7th Phase JP Nagar"/>
    <n v="1040"/>
    <x v="0"/>
    <n v="1"/>
    <x v="0"/>
    <s v="Medium"/>
    <n v="395200"/>
    <s v="Low"/>
  </r>
  <r>
    <s v="Kadugodi"/>
    <n v="1198"/>
    <x v="0"/>
    <n v="2"/>
    <x v="0"/>
    <s v="Medium"/>
    <n v="580000"/>
    <s v="Medium"/>
  </r>
  <r>
    <s v="Shirdi Sai Layout"/>
    <n v="1200"/>
    <x v="2"/>
    <n v="2"/>
    <x v="1"/>
    <s v="Medium"/>
    <n v="950000"/>
    <s v="Medium"/>
  </r>
  <r>
    <s v="Sarjapur  Road"/>
    <n v="1691"/>
    <x v="2"/>
    <n v="2"/>
    <x v="2"/>
    <s v="Medium"/>
    <n v="1130000"/>
    <s v="High"/>
  </r>
  <r>
    <s v="Bisuvanahalli"/>
    <n v="1075"/>
    <x v="2"/>
    <n v="2"/>
    <x v="2"/>
    <s v="Medium"/>
    <n v="360000"/>
    <s v="Low"/>
  </r>
  <r>
    <s v="1st Block Jayanagar"/>
    <n v="1630"/>
    <x v="2"/>
    <n v="2"/>
    <x v="2"/>
    <s v="Medium"/>
    <n v="1940000"/>
    <s v="High"/>
  </r>
  <r>
    <s v="8th Phase JP Nagar"/>
    <n v="1240"/>
    <x v="2"/>
    <n v="2"/>
    <x v="2"/>
    <s v="Medium"/>
    <n v="435000"/>
    <s v="Low"/>
  </r>
  <r>
    <s v="Bannerghatta Road"/>
    <n v="1559"/>
    <x v="0"/>
    <n v="0"/>
    <x v="0"/>
    <s v="Medium"/>
    <n v="589350"/>
    <s v="Medium"/>
  </r>
  <r>
    <s v="Mallasandra"/>
    <n v="1665"/>
    <x v="2"/>
    <n v="2"/>
    <x v="2"/>
    <s v="Medium"/>
    <n v="865800"/>
    <s v="Medium"/>
  </r>
  <r>
    <s v="Marathahalli"/>
    <n v="2489"/>
    <x v="2"/>
    <n v="2"/>
    <x v="2"/>
    <s v="Large"/>
    <n v="940000"/>
    <s v="Medium"/>
  </r>
  <r>
    <s v="Brookefield"/>
    <n v="1142"/>
    <x v="0"/>
    <n v="2"/>
    <x v="0"/>
    <s v="Medium"/>
    <n v="700000"/>
    <s v="Medium"/>
  </r>
  <r>
    <s v="Kodbisanhalli"/>
    <n v="1976"/>
    <x v="2"/>
    <n v="1"/>
    <x v="2"/>
    <s v="Medium"/>
    <n v="1840000"/>
    <s v="High"/>
  </r>
  <r>
    <s v="Sathya Sai Layout"/>
    <n v="5500"/>
    <x v="3"/>
    <n v="2"/>
    <x v="1"/>
    <s v="Large"/>
    <n v="6000000"/>
    <s v="Luxury"/>
  </r>
  <r>
    <s v="Kothannur"/>
    <n v="1853"/>
    <x v="2"/>
    <n v="2"/>
    <x v="2"/>
    <s v="Medium"/>
    <n v="820000"/>
    <s v="Medium"/>
  </r>
  <r>
    <s v="Vijayanagar"/>
    <n v="600"/>
    <x v="3"/>
    <n v="1"/>
    <x v="5"/>
    <s v="Small"/>
    <n v="720000"/>
    <s v="Medium"/>
  </r>
  <r>
    <s v="Kasturi Nagar"/>
    <n v="1567"/>
    <x v="0"/>
    <n v="2"/>
    <x v="0"/>
    <s v="Medium"/>
    <n v="920000"/>
    <s v="Medium"/>
  </r>
  <r>
    <s v="Talaghattapura"/>
    <n v="1090"/>
    <x v="0"/>
    <n v="1"/>
    <x v="0"/>
    <s v="Medium"/>
    <n v="272400"/>
    <s v="Low"/>
  </r>
  <r>
    <s v="Raja Rajeshwari Nagar"/>
    <n v="1200"/>
    <x v="3"/>
    <n v="2"/>
    <x v="3"/>
    <s v="Medium"/>
    <n v="1250000"/>
    <s v="High"/>
  </r>
  <r>
    <s v="Indiranagar HAL 2nd Stage"/>
    <n v="2400"/>
    <x v="3"/>
    <n v="1"/>
    <x v="1"/>
    <s v="Large"/>
    <n v="6400000"/>
    <s v="Luxury"/>
  </r>
  <r>
    <s v="Electronics City Phase 1"/>
    <n v="1175"/>
    <x v="0"/>
    <n v="2"/>
    <x v="0"/>
    <s v="Medium"/>
    <n v="514700"/>
    <s v="Medium"/>
  </r>
  <r>
    <s v="Subramanyapura"/>
    <n v="1200"/>
    <x v="0"/>
    <n v="2"/>
    <x v="0"/>
    <s v="Medium"/>
    <n v="520000"/>
    <s v="Medium"/>
  </r>
  <r>
    <s v="Kodichikkanahalli"/>
    <n v="995"/>
    <x v="0"/>
    <n v="1"/>
    <x v="0"/>
    <s v="Small"/>
    <n v="410000"/>
    <s v="Low"/>
  </r>
  <r>
    <s v="Magadi Road"/>
    <n v="884"/>
    <x v="0"/>
    <n v="1"/>
    <x v="0"/>
    <s v="Small"/>
    <n v="411000"/>
    <s v="Low"/>
  </r>
  <r>
    <s v="Vishwanatha Nagenahalli"/>
    <n v="900"/>
    <x v="2"/>
    <n v="2"/>
    <x v="7"/>
    <s v="Small"/>
    <n v="800000"/>
    <s v="Medium"/>
  </r>
  <r>
    <s v="Yeshwanthpur"/>
    <n v="1170"/>
    <x v="0"/>
    <n v="2"/>
    <x v="0"/>
    <s v="Medium"/>
    <n v="570000"/>
    <s v="Medium"/>
  </r>
  <r>
    <s v="KR Puram"/>
    <n v="1225"/>
    <x v="0"/>
    <n v="1"/>
    <x v="0"/>
    <s v="Medium"/>
    <n v="465500"/>
    <s v="Low"/>
  </r>
  <r>
    <s v="Electronic City"/>
    <n v="1342"/>
    <x v="0"/>
    <n v="1"/>
    <x v="0"/>
    <s v="Medium"/>
    <n v="733000"/>
    <s v="Medium"/>
  </r>
  <r>
    <s v="Uttarahalli"/>
    <n v="1345"/>
    <x v="0"/>
    <n v="1"/>
    <x v="0"/>
    <s v="Medium"/>
    <n v="670000"/>
    <s v="Medium"/>
  </r>
  <r>
    <s v="Kodigehaali"/>
    <n v="1320"/>
    <x v="2"/>
    <n v="0"/>
    <x v="2"/>
    <s v="Medium"/>
    <n v="650000"/>
    <s v="Medium"/>
  </r>
  <r>
    <s v="Singapura Village"/>
    <n v="1559"/>
    <x v="0"/>
    <n v="2"/>
    <x v="0"/>
    <s v="Medium"/>
    <n v="450000"/>
    <s v="Low"/>
  </r>
  <r>
    <s v="Raja Rajeshwari Nagar"/>
    <n v="1140"/>
    <x v="0"/>
    <n v="1"/>
    <x v="0"/>
    <s v="Medium"/>
    <n v="493900"/>
    <s v="Low"/>
  </r>
  <r>
    <s v="Battarahalli"/>
    <n v="1300"/>
    <x v="0"/>
    <n v="1"/>
    <x v="0"/>
    <s v="Medium"/>
    <n v="500000"/>
    <s v="Low"/>
  </r>
  <r>
    <s v="Hosa Road"/>
    <n v="1652"/>
    <x v="2"/>
    <n v="2"/>
    <x v="2"/>
    <s v="Medium"/>
    <n v="850000"/>
    <s v="Medium"/>
  </r>
  <r>
    <s v="Thigalarapalya"/>
    <n v="2072"/>
    <x v="3"/>
    <n v="2"/>
    <x v="2"/>
    <s v="Large"/>
    <n v="1420000"/>
    <s v="High"/>
  </r>
  <r>
    <s v="Arekere"/>
    <n v="1740"/>
    <x v="0"/>
    <n v="2"/>
    <x v="2"/>
    <s v="Medium"/>
    <n v="950000"/>
    <s v="Medium"/>
  </r>
  <r>
    <s v="Electronic City"/>
    <n v="1360"/>
    <x v="0"/>
    <n v="1"/>
    <x v="2"/>
    <s v="Medium"/>
    <n v="710000"/>
    <s v="Medium"/>
  </r>
  <r>
    <s v="Hosur Road"/>
    <n v="1145"/>
    <x v="0"/>
    <n v="2"/>
    <x v="2"/>
    <s v="Medium"/>
    <n v="600000"/>
    <s v="Medium"/>
  </r>
  <r>
    <s v="Uttarahalli"/>
    <n v="1540"/>
    <x v="0"/>
    <n v="0"/>
    <x v="2"/>
    <s v="Medium"/>
    <n v="400000"/>
    <s v="Low"/>
  </r>
  <r>
    <s v="Sarjapur  Road"/>
    <n v="1278"/>
    <x v="0"/>
    <n v="2"/>
    <x v="0"/>
    <s v="Medium"/>
    <n v="950000"/>
    <s v="Medium"/>
  </r>
  <r>
    <s v="Electronic City Phase II"/>
    <n v="630"/>
    <x v="5"/>
    <n v="1"/>
    <x v="4"/>
    <s v="Small"/>
    <n v="400000"/>
    <s v="Low"/>
  </r>
  <r>
    <s v="Kanakpura Road"/>
    <n v="1100"/>
    <x v="2"/>
    <n v="2"/>
    <x v="2"/>
    <s v="Medium"/>
    <n v="580000"/>
    <s v="Medium"/>
  </r>
  <r>
    <s v="Bendiganahalli"/>
    <n v="1200"/>
    <x v="2"/>
    <n v="0"/>
    <x v="2"/>
    <s v="Medium"/>
    <n v="950000"/>
    <s v="Medium"/>
  </r>
  <r>
    <s v="Hosakerehalli Layout"/>
    <n v="2500"/>
    <x v="4"/>
    <n v="2"/>
    <x v="6"/>
    <s v="Large"/>
    <n v="1150000"/>
    <s v="High"/>
  </r>
  <r>
    <s v="Chandapura"/>
    <n v="1559"/>
    <x v="5"/>
    <n v="0"/>
    <x v="4"/>
    <s v="Medium"/>
    <n v="151350"/>
    <s v="Low"/>
  </r>
  <r>
    <s v="Chandapura"/>
    <n v="1015"/>
    <x v="0"/>
    <n v="2"/>
    <x v="0"/>
    <s v="Medium"/>
    <n v="258800"/>
    <s v="Low"/>
  </r>
  <r>
    <s v="Hosur Road"/>
    <n v="3300"/>
    <x v="1"/>
    <n v="2"/>
    <x v="7"/>
    <s v="Large"/>
    <n v="2400000"/>
    <s v="High"/>
  </r>
  <r>
    <s v="Basaveshwara Nagar"/>
    <n v="4500"/>
    <x v="1"/>
    <n v="1"/>
    <x v="7"/>
    <s v="Large"/>
    <n v="4150000"/>
    <s v="Luxury"/>
  </r>
  <r>
    <s v="Gunjur"/>
    <n v="1356"/>
    <x v="0"/>
    <n v="3"/>
    <x v="2"/>
    <s v="Medium"/>
    <n v="660000"/>
    <s v="Medium"/>
  </r>
  <r>
    <s v="Hennagara"/>
    <n v="823"/>
    <x v="0"/>
    <n v="1"/>
    <x v="0"/>
    <s v="Small"/>
    <n v="280000"/>
    <s v="Low"/>
  </r>
  <r>
    <s v="TC Palaya"/>
    <n v="1200"/>
    <x v="0"/>
    <n v="0"/>
    <x v="2"/>
    <s v="Medium"/>
    <n v="660000"/>
    <s v="Medium"/>
  </r>
  <r>
    <s v="Ramamurthy Nagar"/>
    <n v="1050"/>
    <x v="0"/>
    <n v="0"/>
    <x v="0"/>
    <s v="Medium"/>
    <n v="370000"/>
    <s v="Low"/>
  </r>
  <r>
    <s v="Ferrar Nagar"/>
    <n v="1180"/>
    <x v="0"/>
    <n v="1"/>
    <x v="0"/>
    <s v="Medium"/>
    <n v="690000"/>
    <s v="Medium"/>
  </r>
  <r>
    <s v="Whitefield"/>
    <n v="1116"/>
    <x v="0"/>
    <n v="3"/>
    <x v="0"/>
    <s v="Medium"/>
    <n v="519100"/>
    <s v="Medium"/>
  </r>
  <r>
    <s v="7th Phase JP Nagar"/>
    <n v="1070"/>
    <x v="0"/>
    <n v="1"/>
    <x v="0"/>
    <s v="Medium"/>
    <n v="427900"/>
    <s v="Low"/>
  </r>
  <r>
    <s v="Varthur"/>
    <n v="1385"/>
    <x v="0"/>
    <n v="3"/>
    <x v="0"/>
    <s v="Medium"/>
    <n v="800000"/>
    <s v="Medium"/>
  </r>
  <r>
    <s v="Varthur"/>
    <n v="1000"/>
    <x v="5"/>
    <n v="1"/>
    <x v="4"/>
    <s v="Small"/>
    <n v="700000"/>
    <s v="Medium"/>
  </r>
  <r>
    <s v="Whitefield"/>
    <n v="1897"/>
    <x v="2"/>
    <n v="2"/>
    <x v="2"/>
    <s v="Medium"/>
    <n v="1300000"/>
    <s v="High"/>
  </r>
  <r>
    <s v="Magadi Road"/>
    <n v="1005"/>
    <x v="0"/>
    <n v="1"/>
    <x v="0"/>
    <s v="Medium"/>
    <n v="557800"/>
    <s v="Medium"/>
  </r>
  <r>
    <s v="Green Glen Layout"/>
    <n v="1575"/>
    <x v="2"/>
    <n v="2"/>
    <x v="2"/>
    <s v="Medium"/>
    <n v="1250000"/>
    <s v="High"/>
  </r>
  <r>
    <s v="Subramanyapura"/>
    <n v="975"/>
    <x v="0"/>
    <n v="1"/>
    <x v="0"/>
    <s v="Small"/>
    <n v="650000"/>
    <s v="Medium"/>
  </r>
  <r>
    <s v="Hennur Road"/>
    <n v="1904"/>
    <x v="2"/>
    <n v="2"/>
    <x v="2"/>
    <s v="Medium"/>
    <n v="1200000"/>
    <s v="High"/>
  </r>
  <r>
    <s v="Kengeri Satellite Town"/>
    <n v="930"/>
    <x v="5"/>
    <n v="1"/>
    <x v="4"/>
    <s v="Small"/>
    <n v="300000"/>
    <s v="Low"/>
  </r>
  <r>
    <s v="Kanakpura Road"/>
    <n v="525"/>
    <x v="5"/>
    <n v="1"/>
    <x v="4"/>
    <s v="Small"/>
    <n v="260000"/>
    <s v="Low"/>
  </r>
  <r>
    <s v="BAGUR"/>
    <n v="686"/>
    <x v="5"/>
    <n v="1"/>
    <x v="4"/>
    <s v="Small"/>
    <n v="170000"/>
    <s v="Low"/>
  </r>
  <r>
    <s v="Electronic City Phase II"/>
    <n v="2400"/>
    <x v="2"/>
    <n v="1"/>
    <x v="0"/>
    <s v="Large"/>
    <n v="1500000"/>
    <s v="High"/>
  </r>
  <r>
    <s v="8th block Koramangala"/>
    <n v="1410"/>
    <x v="5"/>
    <n v="0"/>
    <x v="0"/>
    <s v="Medium"/>
    <n v="2330000"/>
    <s v="High"/>
  </r>
  <r>
    <s v="Sarjapur  Road"/>
    <n v="2238"/>
    <x v="2"/>
    <n v="1"/>
    <x v="2"/>
    <s v="Large"/>
    <n v="1400000"/>
    <s v="High"/>
  </r>
  <r>
    <s v="Harlur"/>
    <n v="1174"/>
    <x v="0"/>
    <n v="1"/>
    <x v="0"/>
    <s v="Medium"/>
    <n v="690000"/>
    <s v="Medium"/>
  </r>
  <r>
    <s v="Thubarahalli"/>
    <n v="3800"/>
    <x v="3"/>
    <n v="3"/>
    <x v="1"/>
    <s v="Large"/>
    <n v="2390000"/>
    <s v="High"/>
  </r>
  <r>
    <s v="Whitefield"/>
    <n v="2225"/>
    <x v="0"/>
    <n v="1"/>
    <x v="2"/>
    <s v="Large"/>
    <n v="1250000"/>
    <s v="High"/>
  </r>
  <r>
    <s v="M.G Road"/>
    <n v="1250"/>
    <x v="0"/>
    <n v="0"/>
    <x v="0"/>
    <s v="Medium"/>
    <n v="2000000"/>
    <s v="High"/>
  </r>
  <r>
    <s v="Jigani"/>
    <n v="918"/>
    <x v="0"/>
    <n v="2"/>
    <x v="0"/>
    <s v="Small"/>
    <n v="520000"/>
    <s v="Medium"/>
  </r>
  <r>
    <s v="Mahadevpura"/>
    <n v="1250"/>
    <x v="0"/>
    <n v="3"/>
    <x v="0"/>
    <s v="Medium"/>
    <n v="520000"/>
    <s v="Medium"/>
  </r>
  <r>
    <s v="Sarjapur  Road"/>
    <n v="1800"/>
    <x v="2"/>
    <n v="2"/>
    <x v="2"/>
    <s v="Medium"/>
    <n v="1100000"/>
    <s v="High"/>
  </r>
  <r>
    <s v="Marathahalli"/>
    <n v="1170"/>
    <x v="0"/>
    <n v="3"/>
    <x v="0"/>
    <s v="Medium"/>
    <n v="530000"/>
    <s v="Medium"/>
  </r>
  <r>
    <s v="Byatarayanapura"/>
    <n v="1300"/>
    <x v="5"/>
    <n v="0"/>
    <x v="4"/>
    <s v="Medium"/>
    <n v="2000000"/>
    <s v="High"/>
  </r>
  <r>
    <s v="Bannerghatta Road"/>
    <n v="793"/>
    <x v="0"/>
    <n v="1"/>
    <x v="0"/>
    <s v="Small"/>
    <n v="450000"/>
    <s v="Low"/>
  </r>
  <r>
    <s v="Jakkur"/>
    <n v="1710"/>
    <x v="2"/>
    <n v="2"/>
    <x v="2"/>
    <s v="Medium"/>
    <n v="1070000"/>
    <s v="High"/>
  </r>
  <r>
    <s v="Kambipura"/>
    <n v="1082"/>
    <x v="0"/>
    <n v="1"/>
    <x v="2"/>
    <s v="Medium"/>
    <n v="575000"/>
    <s v="Medium"/>
  </r>
  <r>
    <s v="Naganathapura"/>
    <n v="1001"/>
    <x v="0"/>
    <n v="2"/>
    <x v="0"/>
    <s v="Medium"/>
    <n v="330300"/>
    <s v="Low"/>
  </r>
  <r>
    <s v="Srinivasa Nagar"/>
    <n v="1500"/>
    <x v="3"/>
    <n v="2"/>
    <x v="1"/>
    <s v="Medium"/>
    <n v="1800000"/>
    <s v="High"/>
  </r>
  <r>
    <s v="Yelahanka"/>
    <n v="1590"/>
    <x v="0"/>
    <n v="1"/>
    <x v="2"/>
    <s v="Medium"/>
    <n v="540000"/>
    <s v="Medium"/>
  </r>
  <r>
    <s v="Basavanagara"/>
    <n v="2400"/>
    <x v="0"/>
    <n v="0"/>
    <x v="2"/>
    <s v="Large"/>
    <n v="800000"/>
    <s v="Medium"/>
  </r>
  <r>
    <s v="Horamavu Banaswadi"/>
    <n v="1554"/>
    <x v="2"/>
    <n v="2"/>
    <x v="2"/>
    <s v="Medium"/>
    <n v="550000"/>
    <s v="Medium"/>
  </r>
  <r>
    <s v="Thanisandra"/>
    <n v="1559"/>
    <x v="0"/>
    <n v="0"/>
    <x v="0"/>
    <s v="Medium"/>
    <n v="434150"/>
    <s v="Low"/>
  </r>
  <r>
    <s v="Bellandur"/>
    <n v="4239"/>
    <x v="1"/>
    <n v="2"/>
    <x v="7"/>
    <s v="Large"/>
    <n v="4230000"/>
    <s v="Luxury"/>
  </r>
  <r>
    <s v="Konanakunte"/>
    <n v="884"/>
    <x v="5"/>
    <n v="0"/>
    <x v="0"/>
    <s v="Small"/>
    <n v="580000"/>
    <s v="Medium"/>
  </r>
  <r>
    <s v="Hosa Road"/>
    <n v="1045"/>
    <x v="0"/>
    <n v="1"/>
    <x v="0"/>
    <s v="Medium"/>
    <n v="988900"/>
    <s v="Medium"/>
  </r>
  <r>
    <s v="Marathahalli"/>
    <n v="1019"/>
    <x v="0"/>
    <n v="2"/>
    <x v="0"/>
    <s v="Medium"/>
    <n v="498600"/>
    <s v="Low"/>
  </r>
  <r>
    <s v="Ambedkar Nagar"/>
    <n v="1935"/>
    <x v="3"/>
    <n v="2"/>
    <x v="2"/>
    <s v="Medium"/>
    <n v="1300000"/>
    <s v="High"/>
  </r>
  <r>
    <s v="Uttarahalli"/>
    <n v="1135"/>
    <x v="0"/>
    <n v="2"/>
    <x v="2"/>
    <s v="Medium"/>
    <n v="397300"/>
    <s v="Low"/>
  </r>
  <r>
    <s v="Lakshminarayana Pura"/>
    <n v="1680"/>
    <x v="2"/>
    <n v="2"/>
    <x v="2"/>
    <s v="Medium"/>
    <n v="1500000"/>
    <s v="High"/>
  </r>
  <r>
    <s v="Hebbal"/>
    <n v="2470"/>
    <x v="1"/>
    <n v="2"/>
    <x v="1"/>
    <s v="Large"/>
    <n v="2470000"/>
    <s v="High"/>
  </r>
  <r>
    <s v="1st Phase JP Nagar"/>
    <n v="2825"/>
    <x v="3"/>
    <n v="3"/>
    <x v="1"/>
    <s v="Large"/>
    <n v="2500000"/>
    <s v="High"/>
  </r>
  <r>
    <s v="Hosakerehalli"/>
    <n v="2480"/>
    <x v="2"/>
    <n v="1"/>
    <x v="2"/>
    <s v="Large"/>
    <n v="3300000"/>
    <s v="Luxury"/>
  </r>
  <r>
    <s v="5th Phase JP Nagar"/>
    <n v="1260"/>
    <x v="9"/>
    <n v="2"/>
    <x v="9"/>
    <s v="Medium"/>
    <n v="2900000"/>
    <s v="High"/>
  </r>
  <r>
    <s v="Ramamurthy Nagar"/>
    <n v="1800"/>
    <x v="3"/>
    <n v="3"/>
    <x v="7"/>
    <s v="Medium"/>
    <n v="1870000"/>
    <s v="High"/>
  </r>
  <r>
    <s v="Kasavanhalli"/>
    <n v="1799"/>
    <x v="2"/>
    <n v="3"/>
    <x v="2"/>
    <s v="Medium"/>
    <n v="900000"/>
    <s v="Medium"/>
  </r>
  <r>
    <s v="Whitefield"/>
    <n v="1559"/>
    <x v="0"/>
    <n v="2"/>
    <x v="1"/>
    <s v="Medium"/>
    <n v="3040000"/>
    <s v="Luxury"/>
  </r>
  <r>
    <s v="Attibele"/>
    <n v="400"/>
    <x v="5"/>
    <n v="1"/>
    <x v="4"/>
    <s v="Small"/>
    <n v="110000"/>
    <s v="Low"/>
  </r>
  <r>
    <s v="Kundalahalli"/>
    <n v="1047"/>
    <x v="0"/>
    <n v="1"/>
    <x v="0"/>
    <s v="Medium"/>
    <n v="820000"/>
    <s v="Medium"/>
  </r>
  <r>
    <s v="Kaverappa Layout"/>
    <n v="1282"/>
    <x v="0"/>
    <n v="2"/>
    <x v="0"/>
    <s v="Medium"/>
    <n v="870000"/>
    <s v="Medium"/>
  </r>
  <r>
    <s v="NGR Layout"/>
    <n v="1020"/>
    <x v="0"/>
    <n v="1"/>
    <x v="0"/>
    <s v="Medium"/>
    <n v="459000"/>
    <s v="Low"/>
  </r>
  <r>
    <s v="Kammanahalli"/>
    <n v="1080"/>
    <x v="2"/>
    <n v="1"/>
    <x v="1"/>
    <s v="Medium"/>
    <n v="1550000"/>
    <s v="High"/>
  </r>
  <r>
    <s v="Whitefield"/>
    <n v="1495"/>
    <x v="0"/>
    <n v="1"/>
    <x v="0"/>
    <s v="Medium"/>
    <n v="795000"/>
    <s v="Medium"/>
  </r>
  <r>
    <s v="Kasavanhalli"/>
    <n v="3260"/>
    <x v="3"/>
    <n v="1"/>
    <x v="1"/>
    <s v="Large"/>
    <n v="2400000"/>
    <s v="High"/>
  </r>
  <r>
    <s v="Divya Unnathi Layout"/>
    <n v="1611"/>
    <x v="0"/>
    <n v="2"/>
    <x v="2"/>
    <s v="Medium"/>
    <n v="644400"/>
    <s v="Medium"/>
  </r>
  <r>
    <s v="Koramangala"/>
    <n v="3500"/>
    <x v="1"/>
    <n v="2"/>
    <x v="1"/>
    <s v="Large"/>
    <n v="4250000"/>
    <s v="Luxury"/>
  </r>
  <r>
    <s v="Vasantha Vallabha Nagar"/>
    <n v="1500"/>
    <x v="0"/>
    <n v="2"/>
    <x v="2"/>
    <s v="Medium"/>
    <n v="950000"/>
    <s v="Medium"/>
  </r>
  <r>
    <s v="Sahakara Nagar"/>
    <n v="1500"/>
    <x v="0"/>
    <n v="2"/>
    <x v="2"/>
    <s v="Medium"/>
    <n v="950000"/>
    <s v="Medium"/>
  </r>
  <r>
    <s v="Yelahanka"/>
    <n v="3206"/>
    <x v="1"/>
    <n v="2"/>
    <x v="1"/>
    <s v="Large"/>
    <n v="2700000"/>
    <s v="High"/>
  </r>
  <r>
    <s v="Uttarahalli"/>
    <n v="1540"/>
    <x v="2"/>
    <n v="0"/>
    <x v="2"/>
    <s v="Medium"/>
    <n v="500000"/>
    <s v="Low"/>
  </r>
  <r>
    <s v="Hosa Road"/>
    <n v="1639"/>
    <x v="2"/>
    <n v="1"/>
    <x v="2"/>
    <s v="Medium"/>
    <n v="800000"/>
    <s v="Medium"/>
  </r>
  <r>
    <s v="Marathahalli"/>
    <n v="700"/>
    <x v="3"/>
    <n v="2"/>
    <x v="1"/>
    <s v="Small"/>
    <n v="720000"/>
    <s v="Medium"/>
  </r>
  <r>
    <s v="Raja Rajeshwari Nagar"/>
    <n v="1303"/>
    <x v="0"/>
    <n v="2"/>
    <x v="0"/>
    <s v="Medium"/>
    <n v="557900"/>
    <s v="Medium"/>
  </r>
  <r>
    <s v="Koramangala"/>
    <n v="1005"/>
    <x v="5"/>
    <n v="1"/>
    <x v="0"/>
    <s v="Medium"/>
    <n v="1100000"/>
    <s v="High"/>
  </r>
  <r>
    <s v="Kammasandra"/>
    <n v="1559"/>
    <x v="5"/>
    <n v="0"/>
    <x v="4"/>
    <s v="Medium"/>
    <n v="184100"/>
    <s v="Low"/>
  </r>
  <r>
    <s v="Chandapura"/>
    <n v="1305"/>
    <x v="2"/>
    <n v="1"/>
    <x v="2"/>
    <s v="Medium"/>
    <n v="332800"/>
    <s v="Low"/>
  </r>
  <r>
    <s v="Kothannur"/>
    <n v="600"/>
    <x v="3"/>
    <n v="0"/>
    <x v="2"/>
    <s v="Small"/>
    <n v="950000"/>
    <s v="Medium"/>
  </r>
  <r>
    <s v="sapthagiri Layout"/>
    <n v="1300"/>
    <x v="5"/>
    <n v="1"/>
    <x v="0"/>
    <s v="Medium"/>
    <n v="1150000"/>
    <s v="High"/>
  </r>
  <r>
    <s v="Brookefield"/>
    <n v="1440"/>
    <x v="0"/>
    <n v="3"/>
    <x v="2"/>
    <s v="Medium"/>
    <n v="680000"/>
    <s v="Medium"/>
  </r>
  <r>
    <s v="Seegehalli"/>
    <n v="901"/>
    <x v="0"/>
    <n v="1"/>
    <x v="0"/>
    <s v="Small"/>
    <n v="351400"/>
    <s v="Low"/>
  </r>
  <r>
    <s v="Rajaji Nagar"/>
    <n v="1725"/>
    <x v="2"/>
    <n v="3"/>
    <x v="2"/>
    <s v="Medium"/>
    <n v="2000000"/>
    <s v="High"/>
  </r>
  <r>
    <s v="Sarjapur"/>
    <n v="900"/>
    <x v="0"/>
    <n v="1"/>
    <x v="2"/>
    <s v="Small"/>
    <n v="420000"/>
    <s v="Low"/>
  </r>
  <r>
    <s v="BEML Layout"/>
    <n v="1060"/>
    <x v="0"/>
    <n v="1"/>
    <x v="0"/>
    <s v="Medium"/>
    <n v="550000"/>
    <s v="Medium"/>
  </r>
  <r>
    <s v="NGR Layout"/>
    <n v="1020"/>
    <x v="0"/>
    <n v="1"/>
    <x v="0"/>
    <s v="Medium"/>
    <n v="484500"/>
    <s v="Low"/>
  </r>
  <r>
    <s v="Varthur"/>
    <n v="1535"/>
    <x v="2"/>
    <n v="2"/>
    <x v="2"/>
    <s v="Medium"/>
    <n v="659900"/>
    <s v="Medium"/>
  </r>
  <r>
    <s v="Alur"/>
    <n v="530"/>
    <x v="5"/>
    <n v="1"/>
    <x v="4"/>
    <s v="Small"/>
    <n v="200000"/>
    <s v="Low"/>
  </r>
  <r>
    <s v="Haralur Road"/>
    <n v="1464"/>
    <x v="2"/>
    <n v="2"/>
    <x v="2"/>
    <s v="Medium"/>
    <n v="560000"/>
    <s v="Medium"/>
  </r>
  <r>
    <s v="Devarabisanahalli"/>
    <n v="1350"/>
    <x v="0"/>
    <n v="3"/>
    <x v="0"/>
    <s v="Medium"/>
    <n v="800000"/>
    <s v="Medium"/>
  </r>
  <r>
    <s v="Sarjapur  Road"/>
    <n v="1115"/>
    <x v="0"/>
    <n v="2"/>
    <x v="0"/>
    <s v="Medium"/>
    <n v="500000"/>
    <s v="Low"/>
  </r>
  <r>
    <s v="Uttarahalli"/>
    <n v="1175"/>
    <x v="0"/>
    <n v="2"/>
    <x v="0"/>
    <s v="Medium"/>
    <n v="470000"/>
    <s v="Low"/>
  </r>
  <r>
    <s v="Whitefield"/>
    <n v="1113"/>
    <x v="0"/>
    <n v="1"/>
    <x v="0"/>
    <s v="Medium"/>
    <n v="620000"/>
    <s v="Medium"/>
  </r>
  <r>
    <s v="Uttarahalli"/>
    <n v="1200"/>
    <x v="3"/>
    <n v="2"/>
    <x v="3"/>
    <s v="Medium"/>
    <n v="2250000"/>
    <s v="High"/>
  </r>
  <r>
    <s v="Ramamurthy Nagar"/>
    <n v="1640"/>
    <x v="3"/>
    <n v="3"/>
    <x v="7"/>
    <s v="Medium"/>
    <n v="2400000"/>
    <s v="High"/>
  </r>
  <r>
    <s v="FARLAHM"/>
    <n v="650"/>
    <x v="0"/>
    <n v="0"/>
    <x v="0"/>
    <s v="Small"/>
    <n v="420000"/>
    <s v="Low"/>
  </r>
  <r>
    <s v="Marathahalli"/>
    <n v="1325"/>
    <x v="0"/>
    <n v="2"/>
    <x v="0"/>
    <s v="Medium"/>
    <n v="715500"/>
    <s v="Medium"/>
  </r>
  <r>
    <s v="Electronics City Phase 1"/>
    <n v="950"/>
    <x v="0"/>
    <n v="3"/>
    <x v="0"/>
    <s v="Small"/>
    <n v="310000"/>
    <s v="Low"/>
  </r>
  <r>
    <s v="Jakkur"/>
    <n v="1396"/>
    <x v="0"/>
    <n v="1"/>
    <x v="2"/>
    <s v="Medium"/>
    <n v="865100"/>
    <s v="Medium"/>
  </r>
  <r>
    <s v="Rachenahalli"/>
    <n v="1050"/>
    <x v="0"/>
    <n v="2"/>
    <x v="0"/>
    <s v="Medium"/>
    <n v="520700"/>
    <s v="Medium"/>
  </r>
  <r>
    <s v="Thanisandra"/>
    <n v="1825"/>
    <x v="2"/>
    <n v="2"/>
    <x v="2"/>
    <s v="Medium"/>
    <n v="1000000"/>
    <s v="Medium"/>
  </r>
  <r>
    <s v="7th Phase JP Nagar"/>
    <n v="1190"/>
    <x v="0"/>
    <n v="1"/>
    <x v="0"/>
    <s v="Medium"/>
    <n v="499800"/>
    <s v="Low"/>
  </r>
  <r>
    <s v="Marathahalli"/>
    <n v="1220"/>
    <x v="0"/>
    <n v="1"/>
    <x v="0"/>
    <s v="Medium"/>
    <n v="565000"/>
    <s v="Medium"/>
  </r>
  <r>
    <s v="NRI Layout"/>
    <n v="1565"/>
    <x v="0"/>
    <n v="2"/>
    <x v="2"/>
    <s v="Medium"/>
    <n v="750000"/>
    <s v="Medium"/>
  </r>
  <r>
    <s v="Hennur Road"/>
    <n v="1891"/>
    <x v="2"/>
    <n v="1"/>
    <x v="2"/>
    <s v="Medium"/>
    <n v="1090000"/>
    <s v="High"/>
  </r>
  <r>
    <s v="Sidedahalli"/>
    <n v="900"/>
    <x v="0"/>
    <n v="0"/>
    <x v="0"/>
    <s v="Small"/>
    <n v="270000"/>
    <s v="Low"/>
  </r>
  <r>
    <s v="Hosa Road"/>
    <n v="1161"/>
    <x v="0"/>
    <n v="1"/>
    <x v="0"/>
    <s v="Medium"/>
    <n v="551500"/>
    <s v="Medium"/>
  </r>
  <r>
    <s v="Sarjapur"/>
    <n v="1559"/>
    <x v="5"/>
    <n v="0"/>
    <x v="4"/>
    <s v="Medium"/>
    <n v="175350"/>
    <s v="Low"/>
  </r>
  <r>
    <s v="Dwarka Nagar"/>
    <n v="2400"/>
    <x v="4"/>
    <n v="3"/>
    <x v="5"/>
    <s v="Large"/>
    <n v="1250000"/>
    <s v="High"/>
  </r>
  <r>
    <s v="Rajaji Nagar"/>
    <n v="315"/>
    <x v="3"/>
    <n v="2"/>
    <x v="1"/>
    <s v="Small"/>
    <n v="900000"/>
    <s v="Medium"/>
  </r>
  <r>
    <s v="Yeshwanthpur"/>
    <n v="665"/>
    <x v="5"/>
    <n v="1"/>
    <x v="4"/>
    <s v="Small"/>
    <n v="368500"/>
    <s v="Low"/>
  </r>
  <r>
    <s v="Mysore Road"/>
    <n v="1175"/>
    <x v="0"/>
    <n v="1"/>
    <x v="0"/>
    <s v="Medium"/>
    <n v="735000"/>
    <s v="Medium"/>
  </r>
  <r>
    <s v="Hoodi"/>
    <n v="1425"/>
    <x v="0"/>
    <n v="2"/>
    <x v="0"/>
    <s v="Medium"/>
    <n v="800000"/>
    <s v="Medium"/>
  </r>
  <r>
    <s v="Chikkabanavar"/>
    <n v="1200"/>
    <x v="5"/>
    <n v="0"/>
    <x v="4"/>
    <s v="Medium"/>
    <n v="200000"/>
    <s v="Low"/>
  </r>
  <r>
    <s v="ITPL"/>
    <n v="1200"/>
    <x v="2"/>
    <n v="1"/>
    <x v="2"/>
    <s v="Medium"/>
    <n v="561200"/>
    <s v="Medium"/>
  </r>
  <r>
    <s v="Somasundara Palya"/>
    <n v="1255"/>
    <x v="0"/>
    <n v="2"/>
    <x v="0"/>
    <s v="Medium"/>
    <n v="670000"/>
    <s v="Medium"/>
  </r>
  <r>
    <s v="Hegde Nagar"/>
    <n v="2113"/>
    <x v="3"/>
    <n v="2"/>
    <x v="2"/>
    <s v="Large"/>
    <n v="1450000"/>
    <s v="High"/>
  </r>
  <r>
    <s v="Raja Rajeshwari Nagar"/>
    <n v="600"/>
    <x v="5"/>
    <n v="1"/>
    <x v="4"/>
    <s v="Small"/>
    <n v="220000"/>
    <s v="Low"/>
  </r>
  <r>
    <s v="Haralur Road"/>
    <n v="1810"/>
    <x v="2"/>
    <n v="2"/>
    <x v="2"/>
    <s v="Medium"/>
    <n v="1000000"/>
    <s v="Medium"/>
  </r>
  <r>
    <s v="Indira Nagar"/>
    <n v="1200"/>
    <x v="0"/>
    <n v="2"/>
    <x v="0"/>
    <s v="Medium"/>
    <n v="930000"/>
    <s v="Medium"/>
  </r>
  <r>
    <s v="Harlur"/>
    <n v="1033"/>
    <x v="0"/>
    <n v="2"/>
    <x v="0"/>
    <s v="Medium"/>
    <n v="490000"/>
    <s v="Low"/>
  </r>
  <r>
    <s v="ITPL"/>
    <n v="1548"/>
    <x v="2"/>
    <n v="2"/>
    <x v="2"/>
    <s v="Medium"/>
    <n v="895000"/>
    <s v="Medium"/>
  </r>
  <r>
    <s v="Horamavu Banaswadi"/>
    <n v="1611"/>
    <x v="2"/>
    <n v="3"/>
    <x v="2"/>
    <s v="Medium"/>
    <n v="660000"/>
    <s v="Medium"/>
  </r>
  <r>
    <s v="Electronic City Phase II"/>
    <n v="1400"/>
    <x v="0"/>
    <n v="1"/>
    <x v="2"/>
    <s v="Medium"/>
    <n v="404300"/>
    <s v="Low"/>
  </r>
  <r>
    <s v="Vidyaranyapura"/>
    <n v="1485"/>
    <x v="0"/>
    <n v="2"/>
    <x v="2"/>
    <s v="Medium"/>
    <n v="670000"/>
    <s v="Medium"/>
  </r>
  <r>
    <s v="Margondanahalli"/>
    <n v="2400"/>
    <x v="0"/>
    <n v="1"/>
    <x v="0"/>
    <s v="Large"/>
    <n v="820000"/>
    <s v="Medium"/>
  </r>
  <r>
    <s v="Pattandur Agrahara"/>
    <n v="1025"/>
    <x v="0"/>
    <n v="1"/>
    <x v="0"/>
    <s v="Medium"/>
    <n v="445000"/>
    <s v="Low"/>
  </r>
  <r>
    <s v="Thurahalli"/>
    <n v="600"/>
    <x v="2"/>
    <n v="2"/>
    <x v="1"/>
    <s v="Small"/>
    <n v="650000"/>
    <s v="Medium"/>
  </r>
  <r>
    <s v="Hallehalli"/>
    <n v="1225"/>
    <x v="0"/>
    <n v="2"/>
    <x v="0"/>
    <s v="Medium"/>
    <n v="530000"/>
    <s v="Medium"/>
  </r>
  <r>
    <s v="5th Phase JP Nagar"/>
    <n v="1256"/>
    <x v="0"/>
    <n v="1"/>
    <x v="0"/>
    <s v="Medium"/>
    <n v="628000"/>
    <s v="Medium"/>
  </r>
  <r>
    <s v="Whitefield"/>
    <n v="2268"/>
    <x v="2"/>
    <n v="2"/>
    <x v="1"/>
    <s v="Large"/>
    <n v="1630000"/>
    <s v="High"/>
  </r>
  <r>
    <s v="Kanakpura Road"/>
    <n v="1100"/>
    <x v="2"/>
    <n v="2"/>
    <x v="2"/>
    <s v="Medium"/>
    <n v="530000"/>
    <s v="Medium"/>
  </r>
  <r>
    <s v="Vadarpalya"/>
    <n v="1141"/>
    <x v="0"/>
    <n v="0"/>
    <x v="0"/>
    <s v="Medium"/>
    <n v="620000"/>
    <s v="Medium"/>
  </r>
  <r>
    <s v="Attibele"/>
    <n v="400"/>
    <x v="5"/>
    <n v="1"/>
    <x v="4"/>
    <s v="Small"/>
    <n v="120000"/>
    <s v="Low"/>
  </r>
  <r>
    <s v="Chandapura"/>
    <n v="1400"/>
    <x v="0"/>
    <n v="0"/>
    <x v="0"/>
    <s v="Medium"/>
    <n v="600000"/>
    <s v="Medium"/>
  </r>
  <r>
    <s v="Kattigenahalli"/>
    <n v="4100"/>
    <x v="8"/>
    <n v="2"/>
    <x v="6"/>
    <s v="Large"/>
    <n v="1400000"/>
    <s v="High"/>
  </r>
  <r>
    <s v="Marathi Layout"/>
    <n v="1559"/>
    <x v="5"/>
    <n v="0"/>
    <x v="4"/>
    <s v="Medium"/>
    <n v="1100000"/>
    <s v="High"/>
  </r>
  <r>
    <s v="Weavers Colony"/>
    <n v="15"/>
    <x v="5"/>
    <n v="0"/>
    <x v="4"/>
    <s v="Small"/>
    <n v="300000"/>
    <s v="Low"/>
  </r>
  <r>
    <s v="Raghavendra Nagar"/>
    <n v="1175"/>
    <x v="0"/>
    <n v="2"/>
    <x v="0"/>
    <s v="Medium"/>
    <n v="482700"/>
    <s v="Low"/>
  </r>
  <r>
    <s v="Sahakara Nagar"/>
    <n v="1100"/>
    <x v="0"/>
    <n v="1"/>
    <x v="0"/>
    <s v="Medium"/>
    <n v="560000"/>
    <s v="Medium"/>
  </r>
  <r>
    <s v="Kanakpura Road"/>
    <n v="1843"/>
    <x v="2"/>
    <n v="2"/>
    <x v="2"/>
    <s v="Medium"/>
    <n v="958400"/>
    <s v="Medium"/>
  </r>
  <r>
    <s v="1st Phase JP Nagar"/>
    <n v="1200"/>
    <x v="8"/>
    <n v="2"/>
    <x v="5"/>
    <s v="Medium"/>
    <n v="2400000"/>
    <s v="High"/>
  </r>
  <r>
    <s v="Horamavu Banaswadi"/>
    <n v="1460"/>
    <x v="0"/>
    <n v="1"/>
    <x v="0"/>
    <s v="Medium"/>
    <n v="805000"/>
    <s v="Medium"/>
  </r>
  <r>
    <s v="Rachenahalli"/>
    <n v="1530"/>
    <x v="0"/>
    <n v="2"/>
    <x v="2"/>
    <s v="Medium"/>
    <n v="745000"/>
    <s v="Medium"/>
  </r>
  <r>
    <s v="HSR Layout"/>
    <n v="1467"/>
    <x v="0"/>
    <n v="1"/>
    <x v="0"/>
    <s v="Medium"/>
    <n v="550000"/>
    <s v="Medium"/>
  </r>
  <r>
    <s v="KR Layout"/>
    <n v="950"/>
    <x v="5"/>
    <n v="1"/>
    <x v="4"/>
    <s v="Small"/>
    <n v="400000"/>
    <s v="Low"/>
  </r>
  <r>
    <s v="Vittasandra"/>
    <n v="1246"/>
    <x v="0"/>
    <n v="1"/>
    <x v="0"/>
    <s v="Medium"/>
    <n v="645000"/>
    <s v="Medium"/>
  </r>
  <r>
    <s v="Kanakapura"/>
    <n v="711"/>
    <x v="5"/>
    <n v="1"/>
    <x v="4"/>
    <s v="Small"/>
    <n v="380000"/>
    <s v="Low"/>
  </r>
  <r>
    <s v="Haralur Road"/>
    <n v="1194"/>
    <x v="0"/>
    <n v="2"/>
    <x v="0"/>
    <s v="Medium"/>
    <n v="460000"/>
    <s v="Low"/>
  </r>
  <r>
    <s v="Babusapalaya"/>
    <n v="1358"/>
    <x v="0"/>
    <n v="1"/>
    <x v="2"/>
    <s v="Medium"/>
    <n v="434000"/>
    <s v="Low"/>
  </r>
  <r>
    <s v="Nagasandra"/>
    <n v="1500"/>
    <x v="1"/>
    <n v="1"/>
    <x v="3"/>
    <s v="Medium"/>
    <n v="1300000"/>
    <s v="High"/>
  </r>
  <r>
    <s v="Hoodi"/>
    <n v="1420"/>
    <x v="0"/>
    <n v="2"/>
    <x v="0"/>
    <s v="Medium"/>
    <n v="750000"/>
    <s v="Medium"/>
  </r>
  <r>
    <s v="Kathriguppe"/>
    <n v="1250"/>
    <x v="0"/>
    <n v="1"/>
    <x v="2"/>
    <s v="Medium"/>
    <n v="687500"/>
    <s v="Medium"/>
  </r>
  <r>
    <s v="Akshaya Nagar"/>
    <n v="1280"/>
    <x v="0"/>
    <n v="2"/>
    <x v="0"/>
    <s v="Medium"/>
    <n v="580000"/>
    <s v="Medium"/>
  </r>
  <r>
    <s v="Nagappa Reddy Layout"/>
    <n v="1209"/>
    <x v="0"/>
    <n v="1"/>
    <x v="0"/>
    <s v="Medium"/>
    <n v="500000"/>
    <s v="Low"/>
  </r>
  <r>
    <s v="Kempapura"/>
    <n v="4200"/>
    <x v="1"/>
    <n v="2"/>
    <x v="7"/>
    <s v="Large"/>
    <n v="2250000"/>
    <s v="High"/>
  </r>
  <r>
    <s v="BTM 1st Stage"/>
    <n v="1215"/>
    <x v="3"/>
    <n v="3"/>
    <x v="1"/>
    <s v="Medium"/>
    <n v="2050000"/>
    <s v="High"/>
  </r>
  <r>
    <s v="Panathur"/>
    <n v="1315"/>
    <x v="0"/>
    <n v="1"/>
    <x v="2"/>
    <s v="Medium"/>
    <n v="548000"/>
    <s v="Medium"/>
  </r>
  <r>
    <s v="Kariyammana Agrahara"/>
    <n v="1800"/>
    <x v="2"/>
    <n v="3"/>
    <x v="2"/>
    <s v="Medium"/>
    <n v="900000"/>
    <s v="Medium"/>
  </r>
  <r>
    <s v="Hessarghatta"/>
    <n v="1600"/>
    <x v="3"/>
    <n v="0"/>
    <x v="7"/>
    <s v="Medium"/>
    <n v="1250000"/>
    <s v="High"/>
  </r>
  <r>
    <s v="TC Palaya"/>
    <n v="1600"/>
    <x v="0"/>
    <n v="2"/>
    <x v="2"/>
    <s v="Medium"/>
    <n v="650000"/>
    <s v="Medium"/>
  </r>
  <r>
    <s v="Binnamangala"/>
    <n v="3968"/>
    <x v="1"/>
    <n v="2"/>
    <x v="3"/>
    <s v="Large"/>
    <n v="9000000"/>
    <s v="Luxury"/>
  </r>
  <r>
    <s v="Suraksha Nagar"/>
    <n v="1563"/>
    <x v="2"/>
    <n v="2"/>
    <x v="2"/>
    <s v="Medium"/>
    <n v="520000"/>
    <s v="Medium"/>
  </r>
  <r>
    <s v="Whitefield"/>
    <n v="1560"/>
    <x v="0"/>
    <n v="2"/>
    <x v="2"/>
    <s v="Medium"/>
    <n v="720000"/>
    <s v="Medium"/>
  </r>
  <r>
    <s v="Brookefield"/>
    <n v="2169"/>
    <x v="3"/>
    <n v="2"/>
    <x v="2"/>
    <s v="Large"/>
    <n v="1150000"/>
    <s v="High"/>
  </r>
  <r>
    <s v="Lakshmi Layout"/>
    <n v="900"/>
    <x v="10"/>
    <n v="2"/>
    <x v="9"/>
    <s v="Small"/>
    <n v="1700000"/>
    <s v="High"/>
  </r>
  <r>
    <s v="Rachenahalli"/>
    <n v="1050"/>
    <x v="0"/>
    <n v="2"/>
    <x v="0"/>
    <s v="Medium"/>
    <n v="555000"/>
    <s v="Medium"/>
  </r>
  <r>
    <s v="Iblur Village"/>
    <n v="3235"/>
    <x v="2"/>
    <n v="1"/>
    <x v="2"/>
    <s v="Large"/>
    <n v="2350000"/>
    <s v="High"/>
  </r>
  <r>
    <s v="TC Palaya"/>
    <n v="1200"/>
    <x v="2"/>
    <n v="0"/>
    <x v="2"/>
    <s v="Medium"/>
    <n v="660000"/>
    <s v="Medium"/>
  </r>
  <r>
    <s v="HSR Layout"/>
    <n v="1140"/>
    <x v="0"/>
    <n v="2"/>
    <x v="0"/>
    <s v="Medium"/>
    <n v="460000"/>
    <s v="Low"/>
  </r>
  <r>
    <s v="7th Phase JP Nagar"/>
    <n v="1500"/>
    <x v="2"/>
    <n v="1"/>
    <x v="2"/>
    <s v="Medium"/>
    <n v="1700000"/>
    <s v="High"/>
  </r>
  <r>
    <s v="Horamavu Agara"/>
    <n v="1560"/>
    <x v="2"/>
    <n v="2"/>
    <x v="2"/>
    <s v="Medium"/>
    <n v="750000"/>
    <s v="Medium"/>
  </r>
  <r>
    <s v="JP Nagar"/>
    <n v="1100"/>
    <x v="0"/>
    <n v="2"/>
    <x v="0"/>
    <s v="Medium"/>
    <n v="700000"/>
    <s v="Medium"/>
  </r>
  <r>
    <s v="Kasavanhalli"/>
    <n v="1260"/>
    <x v="0"/>
    <n v="3"/>
    <x v="2"/>
    <s v="Medium"/>
    <n v="403200"/>
    <s v="Low"/>
  </r>
  <r>
    <s v="Hebbal"/>
    <n v="1036"/>
    <x v="0"/>
    <n v="1"/>
    <x v="0"/>
    <s v="Medium"/>
    <n v="500000"/>
    <s v="Low"/>
  </r>
  <r>
    <s v="Akshaya Nagar"/>
    <n v="1662"/>
    <x v="2"/>
    <n v="3"/>
    <x v="2"/>
    <s v="Medium"/>
    <n v="851000"/>
    <s v="Medium"/>
  </r>
  <r>
    <s v="Yelachenahalli"/>
    <n v="1464"/>
    <x v="0"/>
    <n v="3"/>
    <x v="2"/>
    <s v="Medium"/>
    <n v="1050000"/>
    <s v="High"/>
  </r>
  <r>
    <s v="Yelahanka"/>
    <n v="1234"/>
    <x v="0"/>
    <n v="2"/>
    <x v="0"/>
    <s v="Medium"/>
    <n v="800000"/>
    <s v="Medium"/>
  </r>
  <r>
    <s v="Sarjapur  Road"/>
    <n v="1403"/>
    <x v="2"/>
    <n v="1"/>
    <x v="2"/>
    <s v="Medium"/>
    <n v="550000"/>
    <s v="Medium"/>
  </r>
  <r>
    <s v="Kadugondanahalli"/>
    <n v="915"/>
    <x v="3"/>
    <n v="1"/>
    <x v="1"/>
    <s v="Small"/>
    <n v="549000"/>
    <s v="Medium"/>
  </r>
  <r>
    <s v="2nd Stage Nagarbhavi"/>
    <n v="3000"/>
    <x v="7"/>
    <n v="3"/>
    <x v="3"/>
    <s v="Large"/>
    <n v="4510000"/>
    <s v="Luxury"/>
  </r>
  <r>
    <s v="Seegehalli"/>
    <n v="1150"/>
    <x v="0"/>
    <n v="2"/>
    <x v="2"/>
    <s v="Medium"/>
    <n v="429000"/>
    <s v="Low"/>
  </r>
  <r>
    <s v="Hebbal"/>
    <n v="3900"/>
    <x v="3"/>
    <n v="2"/>
    <x v="1"/>
    <s v="Large"/>
    <n v="4100000"/>
    <s v="Luxury"/>
  </r>
  <r>
    <s v="Yeshwanthpur"/>
    <n v="850"/>
    <x v="3"/>
    <n v="2"/>
    <x v="7"/>
    <s v="Small"/>
    <n v="900000"/>
    <s v="Medium"/>
  </r>
  <r>
    <s v="Kanakapura"/>
    <n v="929"/>
    <x v="0"/>
    <n v="1"/>
    <x v="0"/>
    <s v="Small"/>
    <n v="460000"/>
    <s v="Low"/>
  </r>
  <r>
    <s v="2nd Stage Nagarbhavi"/>
    <n v="2400"/>
    <x v="7"/>
    <n v="3"/>
    <x v="3"/>
    <s v="Large"/>
    <n v="4500000"/>
    <s v="Luxury"/>
  </r>
  <r>
    <s v="TC Palaya"/>
    <n v="1350"/>
    <x v="0"/>
    <n v="1"/>
    <x v="2"/>
    <s v="Medium"/>
    <n v="750000"/>
    <s v="Medium"/>
  </r>
  <r>
    <s v="Vasanthapura"/>
    <n v="1135"/>
    <x v="0"/>
    <n v="1"/>
    <x v="0"/>
    <s v="Medium"/>
    <n v="397300"/>
    <s v="Low"/>
  </r>
  <r>
    <s v="Basava Nagar"/>
    <n v="1405"/>
    <x v="0"/>
    <n v="2"/>
    <x v="0"/>
    <s v="Medium"/>
    <n v="700000"/>
    <s v="Medium"/>
  </r>
  <r>
    <s v="Whitefield"/>
    <n v="1200"/>
    <x v="0"/>
    <n v="1"/>
    <x v="0"/>
    <s v="Medium"/>
    <n v="458400"/>
    <s v="Low"/>
  </r>
  <r>
    <s v="Haralur Road"/>
    <n v="2805"/>
    <x v="3"/>
    <n v="3"/>
    <x v="1"/>
    <s v="Large"/>
    <n v="1540000"/>
    <s v="High"/>
  </r>
  <r>
    <s v="Yeshwanthpur"/>
    <n v="1161"/>
    <x v="0"/>
    <n v="2"/>
    <x v="0"/>
    <s v="Medium"/>
    <n v="640800"/>
    <s v="Medium"/>
  </r>
  <r>
    <s v="Kanakpura Road"/>
    <n v="1290"/>
    <x v="0"/>
    <n v="3"/>
    <x v="0"/>
    <s v="Medium"/>
    <n v="740000"/>
    <s v="Medium"/>
  </r>
  <r>
    <s v="Yeshwanthpur"/>
    <n v="2557"/>
    <x v="2"/>
    <n v="2"/>
    <x v="2"/>
    <s v="Large"/>
    <n v="1410000"/>
    <s v="High"/>
  </r>
  <r>
    <s v="2nd Block Hrbr Layout"/>
    <n v="1480"/>
    <x v="2"/>
    <n v="2"/>
    <x v="2"/>
    <s v="Medium"/>
    <n v="900000"/>
    <s v="Medium"/>
  </r>
  <r>
    <s v="BTM 1st Stage"/>
    <n v="3300"/>
    <x v="11"/>
    <n v="2"/>
    <x v="9"/>
    <s v="Large"/>
    <n v="5000000"/>
    <s v="Luxury"/>
  </r>
  <r>
    <s v="Old Madras Road"/>
    <n v="1350"/>
    <x v="2"/>
    <n v="0"/>
    <x v="2"/>
    <s v="Medium"/>
    <n v="545400"/>
    <s v="Medium"/>
  </r>
  <r>
    <s v="Kadugodi"/>
    <n v="1580"/>
    <x v="0"/>
    <n v="2"/>
    <x v="2"/>
    <s v="Medium"/>
    <n v="650000"/>
    <s v="Medium"/>
  </r>
  <r>
    <s v="Banashankari"/>
    <n v="1470"/>
    <x v="0"/>
    <n v="1"/>
    <x v="2"/>
    <s v="Medium"/>
    <n v="886400"/>
    <s v="Medium"/>
  </r>
  <r>
    <s v="Ananth Nagar"/>
    <n v="500"/>
    <x v="5"/>
    <n v="1"/>
    <x v="4"/>
    <s v="Small"/>
    <n v="140000"/>
    <s v="Low"/>
  </r>
  <r>
    <s v="Sarjapur  Road"/>
    <n v="1346"/>
    <x v="0"/>
    <n v="1"/>
    <x v="0"/>
    <s v="Medium"/>
    <n v="619200"/>
    <s v="Medium"/>
  </r>
  <r>
    <s v="Canara Bank Layout"/>
    <n v="1600"/>
    <x v="2"/>
    <n v="3"/>
    <x v="2"/>
    <s v="Medium"/>
    <n v="900000"/>
    <s v="Medium"/>
  </r>
  <r>
    <s v="Naganathapura"/>
    <n v="720"/>
    <x v="0"/>
    <n v="1"/>
    <x v="0"/>
    <s v="Small"/>
    <n v="1200000"/>
    <s v="High"/>
  </r>
  <r>
    <s v="Narasapura"/>
    <n v="1559"/>
    <x v="0"/>
    <n v="2"/>
    <x v="0"/>
    <s v="Medium"/>
    <n v="295000"/>
    <s v="Low"/>
  </r>
  <r>
    <s v="Manjunath Nagar"/>
    <n v="1200"/>
    <x v="3"/>
    <n v="0"/>
    <x v="1"/>
    <s v="Medium"/>
    <n v="1350000"/>
    <s v="High"/>
  </r>
  <r>
    <s v="Basapura"/>
    <n v="1200"/>
    <x v="0"/>
    <n v="2"/>
    <x v="0"/>
    <s v="Medium"/>
    <n v="350000"/>
    <s v="Low"/>
  </r>
  <r>
    <s v="Channasandra"/>
    <n v="1340"/>
    <x v="0"/>
    <n v="2"/>
    <x v="2"/>
    <s v="Medium"/>
    <n v="483300"/>
    <s v="Low"/>
  </r>
  <r>
    <s v="Devanahalli"/>
    <n v="6136"/>
    <x v="3"/>
    <n v="2"/>
    <x v="1"/>
    <s v="Large"/>
    <n v="5600000"/>
    <s v="Luxury"/>
  </r>
  <r>
    <s v="Jigani"/>
    <n v="918"/>
    <x v="0"/>
    <n v="2"/>
    <x v="0"/>
    <s v="Small"/>
    <n v="480000"/>
    <s v="Low"/>
  </r>
  <r>
    <s v="Singena Agrahara"/>
    <n v="1500"/>
    <x v="2"/>
    <n v="2"/>
    <x v="2"/>
    <s v="Medium"/>
    <n v="1150000"/>
    <s v="High"/>
  </r>
  <r>
    <s v="Yelahanka"/>
    <n v="1315"/>
    <x v="0"/>
    <n v="2"/>
    <x v="0"/>
    <s v="Medium"/>
    <n v="850000"/>
    <s v="Medium"/>
  </r>
  <r>
    <s v="Sector 1 HSR Layout"/>
    <n v="2400"/>
    <x v="1"/>
    <n v="2"/>
    <x v="1"/>
    <s v="Large"/>
    <n v="7750000"/>
    <s v="Luxury"/>
  </r>
  <r>
    <s v="Uttarahalli"/>
    <n v="1390"/>
    <x v="0"/>
    <n v="2"/>
    <x v="2"/>
    <s v="Medium"/>
    <n v="625500"/>
    <s v="Medium"/>
  </r>
  <r>
    <s v="Uttarahalli"/>
    <n v="1330"/>
    <x v="0"/>
    <n v="1"/>
    <x v="2"/>
    <s v="Medium"/>
    <n v="560000"/>
    <s v="Medium"/>
  </r>
  <r>
    <s v="Jalahalli"/>
    <n v="3100"/>
    <x v="3"/>
    <n v="2"/>
    <x v="7"/>
    <s v="Large"/>
    <n v="2650000"/>
    <s v="High"/>
  </r>
  <r>
    <s v="Mango Garden Layout"/>
    <n v="1824"/>
    <x v="2"/>
    <n v="3"/>
    <x v="2"/>
    <s v="Medium"/>
    <n v="1250000"/>
    <s v="High"/>
  </r>
  <r>
    <s v="7th Phase JP Nagar"/>
    <n v="1420"/>
    <x v="0"/>
    <n v="2"/>
    <x v="2"/>
    <s v="Medium"/>
    <n v="960000"/>
    <s v="Medium"/>
  </r>
  <r>
    <s v="Kacharakanahalli"/>
    <n v="750"/>
    <x v="5"/>
    <n v="0"/>
    <x v="4"/>
    <s v="Small"/>
    <n v="562500"/>
    <s v="Medium"/>
  </r>
  <r>
    <s v="Jalahalli East"/>
    <n v="1260"/>
    <x v="0"/>
    <n v="1"/>
    <x v="2"/>
    <s v="Medium"/>
    <n v="600000"/>
    <s v="Medium"/>
  </r>
  <r>
    <s v="Hennur Road"/>
    <n v="1561"/>
    <x v="2"/>
    <n v="2"/>
    <x v="2"/>
    <s v="Medium"/>
    <n v="950000"/>
    <s v="Medium"/>
  </r>
  <r>
    <s v="5th Phase JP Nagar"/>
    <n v="812"/>
    <x v="4"/>
    <n v="3"/>
    <x v="9"/>
    <s v="Small"/>
    <n v="1650000"/>
    <s v="High"/>
  </r>
  <r>
    <s v="Bidere Agarahara, Behind Safal market"/>
    <n v="1060"/>
    <x v="0"/>
    <n v="2"/>
    <x v="0"/>
    <s v="Medium"/>
    <n v="420000"/>
    <s v="Low"/>
  </r>
  <r>
    <s v="Hoodi"/>
    <n v="1120"/>
    <x v="7"/>
    <n v="3"/>
    <x v="5"/>
    <s v="Medium"/>
    <n v="1450000"/>
    <s v="High"/>
  </r>
  <r>
    <s v="Haralur Road"/>
    <n v="1225"/>
    <x v="0"/>
    <n v="1"/>
    <x v="0"/>
    <s v="Medium"/>
    <n v="673800"/>
    <s v="Medium"/>
  </r>
  <r>
    <s v="Thanisandra"/>
    <n v="2144"/>
    <x v="2"/>
    <n v="2"/>
    <x v="2"/>
    <s v="Large"/>
    <n v="1350000"/>
    <s v="High"/>
  </r>
  <r>
    <s v="Kengeri"/>
    <n v="1200"/>
    <x v="4"/>
    <n v="2"/>
    <x v="6"/>
    <s v="Medium"/>
    <n v="1400000"/>
    <s v="High"/>
  </r>
  <r>
    <s v="Electronic City"/>
    <n v="880"/>
    <x v="0"/>
    <n v="2"/>
    <x v="0"/>
    <s v="Small"/>
    <n v="290000"/>
    <s v="Low"/>
  </r>
  <r>
    <s v="Hoodi"/>
    <n v="1639"/>
    <x v="2"/>
    <n v="2"/>
    <x v="2"/>
    <s v="Medium"/>
    <n v="1100000"/>
    <s v="High"/>
  </r>
  <r>
    <s v="Thanisandra"/>
    <n v="1240"/>
    <x v="0"/>
    <n v="1"/>
    <x v="2"/>
    <s v="Medium"/>
    <n v="620000"/>
    <s v="Medium"/>
  </r>
  <r>
    <s v="Kanakpura Road"/>
    <n v="1500"/>
    <x v="0"/>
    <n v="2"/>
    <x v="0"/>
    <s v="Medium"/>
    <n v="690000"/>
    <s v="Medium"/>
  </r>
  <r>
    <s v="Haralur Road"/>
    <n v="1243"/>
    <x v="0"/>
    <n v="1"/>
    <x v="0"/>
    <s v="Medium"/>
    <n v="460000"/>
    <s v="Low"/>
  </r>
  <r>
    <s v="Marathahalli"/>
    <n v="1575"/>
    <x v="2"/>
    <n v="2"/>
    <x v="2"/>
    <s v="Medium"/>
    <n v="780000"/>
    <s v="Medium"/>
  </r>
  <r>
    <s v="Haralur Road"/>
    <n v="1027"/>
    <x v="0"/>
    <n v="2"/>
    <x v="0"/>
    <s v="Medium"/>
    <n v="440000"/>
    <s v="Low"/>
  </r>
  <r>
    <s v="Kambipura"/>
    <n v="1082"/>
    <x v="0"/>
    <n v="1"/>
    <x v="2"/>
    <s v="Medium"/>
    <n v="560000"/>
    <s v="Medium"/>
  </r>
  <r>
    <s v="Konanakunte"/>
    <n v="1637"/>
    <x v="2"/>
    <n v="3"/>
    <x v="2"/>
    <s v="Medium"/>
    <n v="730000"/>
    <s v="Medium"/>
  </r>
  <r>
    <s v="Kanakpura Road"/>
    <n v="1665"/>
    <x v="2"/>
    <n v="2"/>
    <x v="2"/>
    <s v="Medium"/>
    <n v="865800"/>
    <s v="Medium"/>
  </r>
  <r>
    <s v="Electronic City"/>
    <n v="1265"/>
    <x v="0"/>
    <n v="0"/>
    <x v="0"/>
    <s v="Medium"/>
    <n v="569300"/>
    <s v="Medium"/>
  </r>
  <r>
    <s v="Electronic City"/>
    <n v="1691"/>
    <x v="0"/>
    <n v="2"/>
    <x v="2"/>
    <s v="Medium"/>
    <n v="1020000"/>
    <s v="High"/>
  </r>
  <r>
    <s v="Thanisandra"/>
    <n v="1100"/>
    <x v="0"/>
    <n v="1"/>
    <x v="0"/>
    <s v="Medium"/>
    <n v="380000"/>
    <s v="Low"/>
  </r>
  <r>
    <s v="Grihalakshmi Layout"/>
    <n v="24"/>
    <x v="0"/>
    <n v="2"/>
    <x v="7"/>
    <s v="Small"/>
    <n v="1500000"/>
    <s v="High"/>
  </r>
  <r>
    <s v="Gopalkrishna Nagar"/>
    <n v="1500"/>
    <x v="2"/>
    <n v="2"/>
    <x v="2"/>
    <s v="Medium"/>
    <n v="620000"/>
    <s v="Medium"/>
  </r>
  <r>
    <s v="Hosakerehalli"/>
    <n v="3205"/>
    <x v="1"/>
    <n v="1"/>
    <x v="1"/>
    <s v="Large"/>
    <n v="3800000"/>
    <s v="Luxury"/>
  </r>
  <r>
    <s v="Kammanahalli"/>
    <n v="1666"/>
    <x v="3"/>
    <n v="1"/>
    <x v="7"/>
    <s v="Medium"/>
    <n v="1500000"/>
    <s v="High"/>
  </r>
  <r>
    <s v="Choodasandra"/>
    <n v="1115"/>
    <x v="0"/>
    <n v="2"/>
    <x v="0"/>
    <s v="Medium"/>
    <n v="500000"/>
    <s v="Low"/>
  </r>
  <r>
    <s v="Mysore Road"/>
    <n v="1070"/>
    <x v="0"/>
    <n v="1"/>
    <x v="0"/>
    <s v="Medium"/>
    <n v="450000"/>
    <s v="Low"/>
  </r>
  <r>
    <s v="Indira Nagar"/>
    <n v="1128"/>
    <x v="0"/>
    <n v="2"/>
    <x v="0"/>
    <s v="Medium"/>
    <n v="1050000"/>
    <s v="High"/>
  </r>
  <r>
    <s v="Budigere"/>
    <n v="1162"/>
    <x v="0"/>
    <n v="1"/>
    <x v="0"/>
    <s v="Medium"/>
    <n v="570000"/>
    <s v="Medium"/>
  </r>
  <r>
    <s v="Sai Gardens"/>
    <n v="1339"/>
    <x v="0"/>
    <n v="2"/>
    <x v="0"/>
    <s v="Medium"/>
    <n v="550000"/>
    <s v="Medium"/>
  </r>
  <r>
    <s v="Mahadevpura"/>
    <n v="1192"/>
    <x v="0"/>
    <n v="2"/>
    <x v="0"/>
    <s v="Medium"/>
    <n v="750000"/>
    <s v="Medium"/>
  </r>
  <r>
    <s v="Haralur Road"/>
    <n v="1920"/>
    <x v="2"/>
    <n v="1"/>
    <x v="2"/>
    <s v="Medium"/>
    <n v="1150000"/>
    <s v="High"/>
  </r>
  <r>
    <s v="Hennur"/>
    <n v="1255"/>
    <x v="0"/>
    <n v="1"/>
    <x v="0"/>
    <s v="Medium"/>
    <n v="523200"/>
    <s v="Medium"/>
  </r>
  <r>
    <s v="Rajaji Nagar"/>
    <n v="1357"/>
    <x v="0"/>
    <n v="1"/>
    <x v="0"/>
    <s v="Medium"/>
    <n v="1150000"/>
    <s v="High"/>
  </r>
  <r>
    <s v="Dodda Kempaiah Layout"/>
    <n v="1600"/>
    <x v="2"/>
    <n v="2"/>
    <x v="2"/>
    <s v="Medium"/>
    <n v="750000"/>
    <s v="Medium"/>
  </r>
  <r>
    <s v="Hanumanth Nagar"/>
    <n v="1225"/>
    <x v="0"/>
    <n v="2"/>
    <x v="0"/>
    <s v="Medium"/>
    <n v="551100"/>
    <s v="Medium"/>
  </r>
  <r>
    <s v="Whitefield"/>
    <n v="2400"/>
    <x v="3"/>
    <n v="3"/>
    <x v="1"/>
    <s v="Large"/>
    <n v="2000000"/>
    <s v="High"/>
  </r>
  <r>
    <s v="Kasturi Nagar"/>
    <n v="1570"/>
    <x v="2"/>
    <n v="3"/>
    <x v="2"/>
    <s v="Medium"/>
    <n v="800000"/>
    <s v="Medium"/>
  </r>
  <r>
    <s v="Thanisandra"/>
    <n v="1093"/>
    <x v="0"/>
    <n v="2"/>
    <x v="0"/>
    <s v="Medium"/>
    <n v="700000"/>
    <s v="Medium"/>
  </r>
  <r>
    <s v="Basaveshwara Nagar"/>
    <n v="1865"/>
    <x v="2"/>
    <n v="3"/>
    <x v="2"/>
    <s v="Medium"/>
    <n v="1450000"/>
    <s v="High"/>
  </r>
  <r>
    <s v="R.T. Nagar"/>
    <n v="1200"/>
    <x v="8"/>
    <n v="3"/>
    <x v="3"/>
    <s v="Medium"/>
    <n v="1650000"/>
    <s v="High"/>
  </r>
  <r>
    <s v="Kaikondrahalli"/>
    <n v="1039"/>
    <x v="0"/>
    <n v="2"/>
    <x v="0"/>
    <s v="Medium"/>
    <n v="800000"/>
    <s v="Medium"/>
  </r>
  <r>
    <s v="Vittasandra"/>
    <n v="1246"/>
    <x v="0"/>
    <n v="1"/>
    <x v="0"/>
    <s v="Medium"/>
    <n v="645000"/>
    <s v="Medium"/>
  </r>
  <r>
    <s v="Whitefield"/>
    <n v="1985"/>
    <x v="2"/>
    <n v="2"/>
    <x v="2"/>
    <s v="Medium"/>
    <n v="750000"/>
    <s v="Medium"/>
  </r>
  <r>
    <s v="Hosakerehalli"/>
    <n v="1590"/>
    <x v="2"/>
    <n v="3"/>
    <x v="2"/>
    <s v="Medium"/>
    <n v="490000"/>
    <s v="Low"/>
  </r>
  <r>
    <s v="Hunasamaranahalli"/>
    <n v="4000"/>
    <x v="3"/>
    <n v="2"/>
    <x v="1"/>
    <s v="Large"/>
    <n v="6750000"/>
    <s v="Luxury"/>
  </r>
  <r>
    <s v="Electronic City Phase II"/>
    <n v="775"/>
    <x v="0"/>
    <n v="2"/>
    <x v="0"/>
    <s v="Small"/>
    <n v="380000"/>
    <s v="Low"/>
  </r>
  <r>
    <s v="RWF West Colony"/>
    <n v="1000"/>
    <x v="0"/>
    <n v="1"/>
    <x v="0"/>
    <s v="Small"/>
    <n v="500000"/>
    <s v="Low"/>
  </r>
  <r>
    <s v="Hebbal Kempapura"/>
    <n v="1800"/>
    <x v="2"/>
    <n v="2"/>
    <x v="2"/>
    <s v="Medium"/>
    <n v="1750000"/>
    <s v="High"/>
  </r>
  <r>
    <s v="Bommasandra"/>
    <n v="1035"/>
    <x v="0"/>
    <n v="1"/>
    <x v="0"/>
    <s v="Medium"/>
    <n v="410000"/>
    <s v="Low"/>
  </r>
  <r>
    <s v="Dasarahalli"/>
    <n v="1520"/>
    <x v="0"/>
    <n v="1"/>
    <x v="2"/>
    <s v="Medium"/>
    <n v="750000"/>
    <s v="Medium"/>
  </r>
  <r>
    <s v="Whitefield"/>
    <n v="1360"/>
    <x v="0"/>
    <n v="1"/>
    <x v="0"/>
    <s v="Medium"/>
    <n v="950000"/>
    <s v="Medium"/>
  </r>
  <r>
    <s v="Bileshivale"/>
    <n v="6000"/>
    <x v="1"/>
    <n v="3"/>
    <x v="1"/>
    <s v="Large"/>
    <n v="4000000"/>
    <s v="Luxury"/>
  </r>
  <r>
    <s v="Kodigehaali"/>
    <n v="1117"/>
    <x v="0"/>
    <n v="2"/>
    <x v="0"/>
    <s v="Medium"/>
    <n v="560000"/>
    <s v="Medium"/>
  </r>
  <r>
    <s v="KR Puram"/>
    <n v="1200"/>
    <x v="3"/>
    <n v="3"/>
    <x v="1"/>
    <s v="Medium"/>
    <n v="1200000"/>
    <s v="High"/>
  </r>
  <r>
    <s v="EPIP Zone"/>
    <n v="1330"/>
    <x v="0"/>
    <n v="1"/>
    <x v="0"/>
    <s v="Medium"/>
    <n v="925000"/>
    <s v="Medium"/>
  </r>
  <r>
    <s v="Marathahalli"/>
    <n v="1937"/>
    <x v="2"/>
    <n v="2"/>
    <x v="2"/>
    <s v="Medium"/>
    <n v="1600000"/>
    <s v="High"/>
  </r>
  <r>
    <s v="Electronic City"/>
    <n v="1128"/>
    <x v="0"/>
    <n v="1"/>
    <x v="0"/>
    <s v="Medium"/>
    <n v="654900"/>
    <s v="Medium"/>
  </r>
  <r>
    <s v="Neeladri Nagar"/>
    <n v="1053"/>
    <x v="0"/>
    <n v="1"/>
    <x v="0"/>
    <s v="Medium"/>
    <n v="450000"/>
    <s v="Low"/>
  </r>
  <r>
    <s v="Panathur"/>
    <n v="1198"/>
    <x v="0"/>
    <n v="1"/>
    <x v="0"/>
    <s v="Medium"/>
    <n v="770000"/>
    <s v="Medium"/>
  </r>
  <r>
    <s v="Marathahalli"/>
    <n v="1152"/>
    <x v="0"/>
    <n v="1"/>
    <x v="0"/>
    <s v="Medium"/>
    <n v="560000"/>
    <s v="Medium"/>
  </r>
  <r>
    <s v="1st Block Jayanagar"/>
    <n v="1200"/>
    <x v="4"/>
    <n v="2"/>
    <x v="3"/>
    <s v="Medium"/>
    <n v="1250000"/>
    <s v="High"/>
  </r>
  <r>
    <s v="Frazer Town"/>
    <n v="1625"/>
    <x v="0"/>
    <n v="1"/>
    <x v="0"/>
    <s v="Medium"/>
    <n v="750000"/>
    <s v="Medium"/>
  </r>
  <r>
    <s v="Kundalahalli"/>
    <n v="1397"/>
    <x v="2"/>
    <n v="3"/>
    <x v="2"/>
    <s v="Medium"/>
    <n v="1050000"/>
    <s v="High"/>
  </r>
  <r>
    <s v="Yeshwanthpur"/>
    <n v="1523"/>
    <x v="2"/>
    <n v="3"/>
    <x v="2"/>
    <s v="Medium"/>
    <n v="1700000"/>
    <s v="High"/>
  </r>
  <r>
    <s v="Kambipura"/>
    <n v="883"/>
    <x v="0"/>
    <n v="1"/>
    <x v="0"/>
    <s v="Small"/>
    <n v="450000"/>
    <s v="Low"/>
  </r>
  <r>
    <s v="Kaggalipura"/>
    <n v="700"/>
    <x v="5"/>
    <n v="0"/>
    <x v="4"/>
    <s v="Small"/>
    <n v="380000"/>
    <s v="Low"/>
  </r>
  <r>
    <s v="Yelahanka"/>
    <n v="1170"/>
    <x v="0"/>
    <n v="1"/>
    <x v="0"/>
    <s v="Medium"/>
    <n v="625000"/>
    <s v="Medium"/>
  </r>
  <r>
    <s v="Kanakpura Road"/>
    <n v="1200"/>
    <x v="0"/>
    <n v="2"/>
    <x v="2"/>
    <s v="Medium"/>
    <n v="420000"/>
    <s v="Low"/>
  </r>
  <r>
    <s v="Manayata Tech Park"/>
    <n v="2400"/>
    <x v="2"/>
    <n v="2"/>
    <x v="2"/>
    <s v="Large"/>
    <n v="1700000"/>
    <s v="High"/>
  </r>
  <r>
    <s v="Kullappa Colony"/>
    <n v="1480"/>
    <x v="0"/>
    <n v="2"/>
    <x v="0"/>
    <s v="Medium"/>
    <n v="650000"/>
    <s v="Medium"/>
  </r>
  <r>
    <s v="Akshaya Nagar"/>
    <n v="1897"/>
    <x v="2"/>
    <n v="2"/>
    <x v="2"/>
    <s v="Medium"/>
    <n v="1200000"/>
    <s v="High"/>
  </r>
  <r>
    <s v="Rachenahalli"/>
    <n v="996"/>
    <x v="0"/>
    <n v="1"/>
    <x v="0"/>
    <s v="Small"/>
    <n v="670000"/>
    <s v="Medium"/>
  </r>
  <r>
    <s v="Haralur Road"/>
    <n v="1875"/>
    <x v="2"/>
    <n v="2"/>
    <x v="2"/>
    <s v="Medium"/>
    <n v="1100000"/>
    <s v="High"/>
  </r>
  <r>
    <s v="Williams Town"/>
    <n v="1500"/>
    <x v="0"/>
    <n v="2"/>
    <x v="2"/>
    <s v="Medium"/>
    <n v="980000"/>
    <s v="Medium"/>
  </r>
  <r>
    <s v="Jaya Nagar East"/>
    <n v="3095"/>
    <x v="2"/>
    <n v="3"/>
    <x v="2"/>
    <s v="Large"/>
    <n v="3500000"/>
    <s v="Luxury"/>
  </r>
  <r>
    <s v="Ambalipura"/>
    <n v="1390"/>
    <x v="0"/>
    <n v="1"/>
    <x v="2"/>
    <s v="Medium"/>
    <n v="1750000"/>
    <s v="High"/>
  </r>
  <r>
    <s v="Yelahanka"/>
    <n v="1559"/>
    <x v="2"/>
    <n v="0"/>
    <x v="2"/>
    <s v="Medium"/>
    <n v="652550"/>
    <s v="Medium"/>
  </r>
  <r>
    <s v="Yelahanka"/>
    <n v="697"/>
    <x v="5"/>
    <n v="0"/>
    <x v="4"/>
    <s v="Small"/>
    <n v="450000"/>
    <s v="Low"/>
  </r>
  <r>
    <s v="Sarjapur  Road"/>
    <n v="710"/>
    <x v="5"/>
    <n v="1"/>
    <x v="4"/>
    <s v="Small"/>
    <n v="270000"/>
    <s v="Low"/>
  </r>
  <r>
    <s v="Iggalur"/>
    <n v="910"/>
    <x v="0"/>
    <n v="1"/>
    <x v="0"/>
    <s v="Small"/>
    <n v="305000"/>
    <s v="Low"/>
  </r>
  <r>
    <s v="Sompura"/>
    <n v="1025"/>
    <x v="0"/>
    <n v="1"/>
    <x v="2"/>
    <s v="Medium"/>
    <n v="480000"/>
    <s v="Low"/>
  </r>
  <r>
    <s v="Magadi Road"/>
    <n v="1559"/>
    <x v="0"/>
    <n v="0"/>
    <x v="0"/>
    <s v="Medium"/>
    <n v="465000"/>
    <s v="Low"/>
  </r>
  <r>
    <s v="Harlur"/>
    <n v="1200"/>
    <x v="3"/>
    <n v="2"/>
    <x v="1"/>
    <s v="Medium"/>
    <n v="2440000"/>
    <s v="High"/>
  </r>
  <r>
    <s v="Horamavu Agara"/>
    <n v="1453"/>
    <x v="0"/>
    <n v="1"/>
    <x v="2"/>
    <s v="Medium"/>
    <n v="464800"/>
    <s v="Low"/>
  </r>
  <r>
    <s v="Sarjapur  Road"/>
    <n v="3335"/>
    <x v="1"/>
    <n v="2"/>
    <x v="1"/>
    <s v="Large"/>
    <n v="3000000"/>
    <s v="High"/>
  </r>
  <r>
    <s v="Thanisandra"/>
    <n v="1559"/>
    <x v="0"/>
    <n v="0"/>
    <x v="0"/>
    <s v="Medium"/>
    <n v="364350"/>
    <s v="Low"/>
  </r>
  <r>
    <s v="Bellandur"/>
    <n v="1281"/>
    <x v="0"/>
    <n v="1"/>
    <x v="0"/>
    <s v="Medium"/>
    <n v="740000"/>
    <s v="Medium"/>
  </r>
  <r>
    <s v="Cooke Town"/>
    <n v="565"/>
    <x v="5"/>
    <n v="1"/>
    <x v="4"/>
    <s v="Small"/>
    <n v="350000"/>
    <s v="Low"/>
  </r>
  <r>
    <s v="Varthur"/>
    <n v="1024"/>
    <x v="0"/>
    <n v="2"/>
    <x v="0"/>
    <s v="Medium"/>
    <n v="420000"/>
    <s v="Low"/>
  </r>
  <r>
    <s v="Electronic City"/>
    <n v="1620"/>
    <x v="2"/>
    <n v="2"/>
    <x v="2"/>
    <s v="Medium"/>
    <n v="620000"/>
    <s v="Medium"/>
  </r>
  <r>
    <s v="Whitefield"/>
    <n v="1254"/>
    <x v="0"/>
    <n v="2"/>
    <x v="0"/>
    <s v="Medium"/>
    <n v="400000"/>
    <s v="Low"/>
  </r>
  <r>
    <s v="Banashankari"/>
    <n v="1300"/>
    <x v="0"/>
    <n v="2"/>
    <x v="2"/>
    <s v="Medium"/>
    <n v="750000"/>
    <s v="Medium"/>
  </r>
  <r>
    <s v="Doddakallasandra"/>
    <n v="1233"/>
    <x v="0"/>
    <n v="2"/>
    <x v="0"/>
    <s v="Medium"/>
    <n v="430000"/>
    <s v="Low"/>
  </r>
  <r>
    <s v="Chokkanahalli"/>
    <n v="1200"/>
    <x v="5"/>
    <n v="1"/>
    <x v="4"/>
    <s v="Medium"/>
    <n v="280000"/>
    <s v="Low"/>
  </r>
  <r>
    <s v="Hosur Road"/>
    <n v="1510"/>
    <x v="0"/>
    <n v="1"/>
    <x v="2"/>
    <s v="Medium"/>
    <n v="1050000"/>
    <s v="High"/>
  </r>
  <r>
    <s v="Kaggalipura"/>
    <n v="950"/>
    <x v="0"/>
    <n v="1"/>
    <x v="0"/>
    <s v="Small"/>
    <n v="650000"/>
    <s v="Medium"/>
  </r>
  <r>
    <s v="Battarahalli"/>
    <n v="1945"/>
    <x v="2"/>
    <n v="2"/>
    <x v="2"/>
    <s v="Medium"/>
    <n v="974200"/>
    <s v="Medium"/>
  </r>
  <r>
    <s v="Uttarahalli"/>
    <n v="1008"/>
    <x v="0"/>
    <n v="3"/>
    <x v="0"/>
    <s v="Medium"/>
    <n v="450000"/>
    <s v="Low"/>
  </r>
  <r>
    <s v="Thanisandra"/>
    <n v="1265"/>
    <x v="0"/>
    <n v="1"/>
    <x v="2"/>
    <s v="Medium"/>
    <n v="790000"/>
    <s v="Medium"/>
  </r>
  <r>
    <s v="Hebbal"/>
    <n v="1255"/>
    <x v="0"/>
    <n v="1"/>
    <x v="2"/>
    <s v="Medium"/>
    <n v="776800"/>
    <s v="Medium"/>
  </r>
  <r>
    <s v="Kanakpura Road"/>
    <n v="2689"/>
    <x v="4"/>
    <n v="2"/>
    <x v="1"/>
    <s v="Large"/>
    <n v="2200000"/>
    <s v="High"/>
  </r>
  <r>
    <s v="Yelenahalli"/>
    <n v="1200"/>
    <x v="0"/>
    <n v="2"/>
    <x v="0"/>
    <s v="Medium"/>
    <n v="461700"/>
    <s v="Low"/>
  </r>
  <r>
    <s v="Sarjapur  Road"/>
    <n v="1403"/>
    <x v="2"/>
    <n v="3"/>
    <x v="2"/>
    <s v="Medium"/>
    <n v="516300"/>
    <s v="Medium"/>
  </r>
  <r>
    <s v="Kudlu Gate"/>
    <n v="1535"/>
    <x v="2"/>
    <n v="2"/>
    <x v="2"/>
    <s v="Medium"/>
    <n v="850000"/>
    <s v="Medium"/>
  </r>
  <r>
    <s v="Chikkaballapur"/>
    <n v="1500"/>
    <x v="2"/>
    <n v="3"/>
    <x v="2"/>
    <s v="Medium"/>
    <n v="1000000"/>
    <s v="Medium"/>
  </r>
  <r>
    <s v="Chamrajpet"/>
    <n v="1475"/>
    <x v="0"/>
    <n v="2"/>
    <x v="2"/>
    <s v="Medium"/>
    <n v="1200000"/>
    <s v="High"/>
  </r>
  <r>
    <s v="Uttarahalli"/>
    <n v="1390"/>
    <x v="0"/>
    <n v="2"/>
    <x v="2"/>
    <s v="Medium"/>
    <n v="604700"/>
    <s v="Medium"/>
  </r>
  <r>
    <s v="Raja Rajeshwari Nagar"/>
    <n v="1278"/>
    <x v="0"/>
    <n v="1"/>
    <x v="2"/>
    <s v="Medium"/>
    <n v="537600"/>
    <s v="Medium"/>
  </r>
  <r>
    <s v="VGP Layout"/>
    <n v="1133"/>
    <x v="0"/>
    <n v="2"/>
    <x v="0"/>
    <s v="Medium"/>
    <n v="550000"/>
    <s v="Medium"/>
  </r>
  <r>
    <s v="Classic Paradise Layout"/>
    <n v="1560"/>
    <x v="1"/>
    <n v="1"/>
    <x v="7"/>
    <s v="Medium"/>
    <n v="1450000"/>
    <s v="High"/>
  </r>
  <r>
    <s v="Byappanahalli"/>
    <n v="2900"/>
    <x v="1"/>
    <n v="2"/>
    <x v="7"/>
    <s v="Large"/>
    <n v="900000"/>
    <s v="Medium"/>
  </r>
  <r>
    <s v="Kogilu"/>
    <n v="1170"/>
    <x v="0"/>
    <n v="1"/>
    <x v="0"/>
    <s v="Medium"/>
    <n v="519900"/>
    <s v="Medium"/>
  </r>
  <r>
    <s v="Sahakara Nagar"/>
    <n v="1200"/>
    <x v="2"/>
    <n v="3"/>
    <x v="2"/>
    <s v="Medium"/>
    <n v="2000000"/>
    <s v="High"/>
  </r>
  <r>
    <s v="Whitefield"/>
    <n v="1697"/>
    <x v="2"/>
    <n v="2"/>
    <x v="2"/>
    <s v="Medium"/>
    <n v="947900"/>
    <s v="Medium"/>
  </r>
  <r>
    <s v="Thanisandra"/>
    <n v="1651"/>
    <x v="2"/>
    <n v="3"/>
    <x v="2"/>
    <s v="Medium"/>
    <n v="973800"/>
    <s v="Medium"/>
  </r>
  <r>
    <s v="Vasanth nagar"/>
    <n v="1560"/>
    <x v="2"/>
    <n v="1"/>
    <x v="2"/>
    <s v="Medium"/>
    <n v="1880000"/>
    <s v="High"/>
  </r>
  <r>
    <s v="Hennur Road"/>
    <n v="1192"/>
    <x v="0"/>
    <n v="1"/>
    <x v="2"/>
    <s v="Medium"/>
    <n v="600000"/>
    <s v="Medium"/>
  </r>
  <r>
    <s v="OMBR Layout"/>
    <n v="1078"/>
    <x v="0"/>
    <n v="3"/>
    <x v="0"/>
    <s v="Medium"/>
    <n v="650000"/>
    <s v="Medium"/>
  </r>
  <r>
    <s v="Kumaraswami Layout"/>
    <n v="800"/>
    <x v="8"/>
    <n v="3"/>
    <x v="6"/>
    <s v="Small"/>
    <n v="1050000"/>
    <s v="High"/>
  </r>
  <r>
    <s v="Kasavanhalli"/>
    <n v="1349"/>
    <x v="0"/>
    <n v="2"/>
    <x v="0"/>
    <s v="Medium"/>
    <n v="780000"/>
    <s v="Medium"/>
  </r>
  <r>
    <s v="Ulsoor"/>
    <n v="2300"/>
    <x v="7"/>
    <n v="1"/>
    <x v="9"/>
    <s v="Large"/>
    <n v="2100000"/>
    <s v="High"/>
  </r>
  <r>
    <s v="7th Phase JP Nagar"/>
    <n v="1680"/>
    <x v="2"/>
    <n v="2"/>
    <x v="2"/>
    <s v="Medium"/>
    <n v="1200000"/>
    <s v="High"/>
  </r>
  <r>
    <s v="Rayasandra"/>
    <n v="1314"/>
    <x v="0"/>
    <n v="2"/>
    <x v="2"/>
    <s v="Medium"/>
    <n v="630000"/>
    <s v="Medium"/>
  </r>
  <r>
    <s v="Garudachar Palya"/>
    <n v="1060"/>
    <x v="0"/>
    <n v="1"/>
    <x v="0"/>
    <s v="Medium"/>
    <n v="487000"/>
    <s v="Low"/>
  </r>
  <r>
    <s v="Kalyan nagar"/>
    <n v="820"/>
    <x v="0"/>
    <n v="0"/>
    <x v="0"/>
    <s v="Small"/>
    <n v="390000"/>
    <s v="Low"/>
  </r>
  <r>
    <s v="Whitefield"/>
    <n v="5000"/>
    <x v="3"/>
    <n v="3"/>
    <x v="1"/>
    <s v="Large"/>
    <n v="4000000"/>
    <s v="Luxury"/>
  </r>
  <r>
    <s v="BEML Layout"/>
    <n v="2000"/>
    <x v="2"/>
    <n v="2"/>
    <x v="2"/>
    <s v="Medium"/>
    <n v="850000"/>
    <s v="Medium"/>
  </r>
  <r>
    <s v="Kalkere"/>
    <n v="856"/>
    <x v="0"/>
    <n v="3"/>
    <x v="0"/>
    <s v="Small"/>
    <n v="400000"/>
    <s v="Low"/>
  </r>
  <r>
    <s v="Rajaji Nagar"/>
    <n v="1621"/>
    <x v="3"/>
    <n v="0"/>
    <x v="2"/>
    <s v="Medium"/>
    <n v="1300000"/>
    <s v="High"/>
  </r>
  <r>
    <s v="ITPL"/>
    <n v="1200"/>
    <x v="2"/>
    <n v="1"/>
    <x v="2"/>
    <s v="Medium"/>
    <n v="684000"/>
    <s v="Medium"/>
  </r>
  <r>
    <s v="Bannerghatta Road"/>
    <n v="1484"/>
    <x v="2"/>
    <n v="2"/>
    <x v="2"/>
    <s v="Medium"/>
    <n v="525000"/>
    <s v="Medium"/>
  </r>
  <r>
    <s v="T.C. Palya"/>
    <n v="600"/>
    <x v="1"/>
    <n v="2"/>
    <x v="1"/>
    <s v="Small"/>
    <n v="600000"/>
    <s v="Medium"/>
  </r>
  <r>
    <s v="Siddapura"/>
    <n v="14000"/>
    <x v="2"/>
    <n v="2"/>
    <x v="1"/>
    <s v="Large"/>
    <n v="8000000"/>
    <s v="Luxury"/>
  </r>
  <r>
    <s v="Yelahanka New Town"/>
    <n v="500"/>
    <x v="5"/>
    <n v="1"/>
    <x v="4"/>
    <s v="Small"/>
    <n v="200000"/>
    <s v="Low"/>
  </r>
  <r>
    <s v="Makali"/>
    <n v="485"/>
    <x v="5"/>
    <n v="1"/>
    <x v="4"/>
    <s v="Small"/>
    <n v="150000"/>
    <s v="Low"/>
  </r>
  <r>
    <s v="7th Phase JP Nagar"/>
    <n v="1050"/>
    <x v="0"/>
    <n v="1"/>
    <x v="0"/>
    <s v="Medium"/>
    <n v="420000"/>
    <s v="Low"/>
  </r>
  <r>
    <s v="Uttarahalli"/>
    <n v="1617"/>
    <x v="2"/>
    <n v="3"/>
    <x v="2"/>
    <s v="Medium"/>
    <n v="666800"/>
    <s v="Medium"/>
  </r>
  <r>
    <s v="Electronic City"/>
    <n v="550"/>
    <x v="5"/>
    <n v="1"/>
    <x v="0"/>
    <s v="Small"/>
    <n v="160000"/>
    <s v="Low"/>
  </r>
  <r>
    <s v="RWF West Colony"/>
    <n v="1384"/>
    <x v="2"/>
    <n v="2"/>
    <x v="2"/>
    <s v="Medium"/>
    <n v="622800"/>
    <s v="Medium"/>
  </r>
  <r>
    <s v="Devanahalli"/>
    <n v="1408"/>
    <x v="0"/>
    <n v="2"/>
    <x v="0"/>
    <s v="Medium"/>
    <n v="850000"/>
    <s v="Medium"/>
  </r>
  <r>
    <s v="Uttarahalli"/>
    <n v="1150"/>
    <x v="0"/>
    <n v="1"/>
    <x v="0"/>
    <s v="Medium"/>
    <n v="490000"/>
    <s v="Low"/>
  </r>
  <r>
    <s v="Akshaya Nagar"/>
    <n v="1410"/>
    <x v="0"/>
    <n v="2"/>
    <x v="2"/>
    <s v="Medium"/>
    <n v="750000"/>
    <s v="Medium"/>
  </r>
  <r>
    <s v="Kaggadasapura"/>
    <n v="2150"/>
    <x v="3"/>
    <n v="1"/>
    <x v="1"/>
    <s v="Large"/>
    <n v="1000000"/>
    <s v="Medium"/>
  </r>
  <r>
    <s v="Koramangala"/>
    <n v="2292"/>
    <x v="3"/>
    <n v="1"/>
    <x v="2"/>
    <s v="Large"/>
    <n v="2750000"/>
    <s v="High"/>
  </r>
  <r>
    <s v="Malleshwaram"/>
    <n v="2006"/>
    <x v="2"/>
    <n v="2"/>
    <x v="2"/>
    <s v="Large"/>
    <n v="2970000"/>
    <s v="High"/>
  </r>
  <r>
    <s v="Maragondanahalli"/>
    <n v="1508"/>
    <x v="2"/>
    <n v="2"/>
    <x v="2"/>
    <s v="Medium"/>
    <n v="702500"/>
    <s v="Medium"/>
  </r>
  <r>
    <s v="Ramamurthy Nagar"/>
    <n v="1040"/>
    <x v="0"/>
    <n v="2"/>
    <x v="0"/>
    <s v="Medium"/>
    <n v="500000"/>
    <s v="Low"/>
  </r>
  <r>
    <s v="TC Palaya"/>
    <n v="1240"/>
    <x v="0"/>
    <n v="1"/>
    <x v="0"/>
    <s v="Medium"/>
    <n v="600000"/>
    <s v="Medium"/>
  </r>
  <r>
    <s v="Kudlu Gate"/>
    <n v="1535"/>
    <x v="2"/>
    <n v="1"/>
    <x v="2"/>
    <s v="Medium"/>
    <n v="780000"/>
    <s v="Medium"/>
  </r>
  <r>
    <s v="Lakshminarayana Pura"/>
    <n v="1180"/>
    <x v="0"/>
    <n v="2"/>
    <x v="0"/>
    <s v="Medium"/>
    <n v="750000"/>
    <s v="Medium"/>
  </r>
  <r>
    <s v="Abbigere"/>
    <n v="2200"/>
    <x v="4"/>
    <n v="2"/>
    <x v="3"/>
    <s v="Large"/>
    <n v="680000"/>
    <s v="Medium"/>
  </r>
  <r>
    <s v="Bannerghatta Road"/>
    <n v="1400"/>
    <x v="0"/>
    <n v="2"/>
    <x v="0"/>
    <s v="Medium"/>
    <n v="780000"/>
    <s v="Medium"/>
  </r>
  <r>
    <s v="Raja Rajeshwari Nagar"/>
    <n v="500"/>
    <x v="5"/>
    <n v="1"/>
    <x v="4"/>
    <s v="Small"/>
    <n v="250000"/>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3DDE0-3E59-4724-838A-1B1034AB9905}"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20:J132" firstHeaderRow="1" firstDataRow="1" firstDataCol="1"/>
  <pivotFields count="8">
    <pivotField showAll="0"/>
    <pivotField showAll="0"/>
    <pivotField showAll="0">
      <items count="13">
        <item x="5"/>
        <item x="0"/>
        <item x="2"/>
        <item x="3"/>
        <item x="1"/>
        <item x="4"/>
        <item x="8"/>
        <item x="7"/>
        <item x="6"/>
        <item x="10"/>
        <item x="9"/>
        <item x="11"/>
        <item t="default"/>
      </items>
    </pivotField>
    <pivotField showAll="0"/>
    <pivotField axis="axisRow" showAll="0">
      <items count="12">
        <item x="10"/>
        <item x="4"/>
        <item x="8"/>
        <item x="0"/>
        <item x="2"/>
        <item x="1"/>
        <item x="7"/>
        <item x="3"/>
        <item x="6"/>
        <item x="5"/>
        <item x="9"/>
        <item t="default"/>
      </items>
    </pivotField>
    <pivotField showAll="0"/>
    <pivotField dataField="1" showAll="0"/>
    <pivotField showAll="0"/>
  </pivotFields>
  <rowFields count="1">
    <field x="4"/>
  </rowFields>
  <rowItems count="12">
    <i>
      <x/>
    </i>
    <i>
      <x v="1"/>
    </i>
    <i>
      <x v="2"/>
    </i>
    <i>
      <x v="3"/>
    </i>
    <i>
      <x v="4"/>
    </i>
    <i>
      <x v="5"/>
    </i>
    <i>
      <x v="6"/>
    </i>
    <i>
      <x v="7"/>
    </i>
    <i>
      <x v="8"/>
    </i>
    <i>
      <x v="9"/>
    </i>
    <i>
      <x v="10"/>
    </i>
    <i t="grand">
      <x/>
    </i>
  </rowItems>
  <colItems count="1">
    <i/>
  </colItems>
  <dataFields count="1">
    <dataField name="Average of PRICE" fld="6" subtotal="average"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1" xr10:uid="{00000000-0013-0000-FFFF-FFFF01000000}" sourceName="location">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6" xr10:uid="{00000000-0013-0000-FFFF-FFFF02000000}" sourceName="Area Type">
  <extLst>
    <x:ext xmlns:x15="http://schemas.microsoft.com/office/spreadsheetml/2010/11/main" uri="{2F2917AC-EB37-4324-AD4E-5DD8C200BD13}">
      <x15:tableSlicerCache tableId="1" column="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3000000}" sourceName="PRICE CATEGORY">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_3" xr10:uid="{00000000-0014-0000-FFFF-FFFF03000000}" cache="SlicerCache_Table_1_Col_1" caption="location" rowHeight="247650"/>
  <slicer name="Area Type_1" xr10:uid="{00000000-0014-0000-FFFF-FFFF01000000}" cache="SlicerCache_Table_1_Col_6" caption="Area Type" rowHeight="247650"/>
  <slicer name="PRICE CATEGORY_2" xr10:uid="{00000000-0014-0000-FFFF-FFFF02000000}" cache="SlicerCache_Table_1_Col_8" caption="PRICE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1256">
  <autoFilter ref="A1:H1256" xr:uid="{00000000-0009-0000-0100-000001000000}"/>
  <tableColumns count="8">
    <tableColumn id="1" xr3:uid="{00000000-0010-0000-0000-000001000000}" name="location"/>
    <tableColumn id="2" xr3:uid="{00000000-0010-0000-0000-000002000000}" name="property_type"/>
    <tableColumn id="3" xr3:uid="{00000000-0010-0000-0000-000003000000}" name="Bedroom"/>
    <tableColumn id="4" xr3:uid="{00000000-0010-0000-0000-000004000000}" name="balcony"/>
    <tableColumn id="5" xr3:uid="{00000000-0010-0000-0000-000005000000}" name="SIZE _ROOM"/>
    <tableColumn id="6" xr3:uid="{00000000-0010-0000-0000-000006000000}" name="Area Type"/>
    <tableColumn id="7" xr3:uid="{00000000-0010-0000-0000-000007000000}" name="PRICE"/>
    <tableColumn id="8" xr3:uid="{00000000-0010-0000-0000-000008000000}" name="PRICE CATEGORY"/>
  </tableColumns>
  <tableStyleInfo name="Table1_2-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showGridLines="0" topLeftCell="A4" workbookViewId="0"/>
  </sheetViews>
  <sheetFormatPr defaultColWidth="14.42578125" defaultRowHeight="15" customHeight="1" x14ac:dyDescent="0.25"/>
  <cols>
    <col min="1" max="16" width="9.140625" customWidth="1"/>
    <col min="17" max="27" width="8.7109375"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x14ac:dyDescent="0.25">
      <c r="A3" s="1"/>
      <c r="B3" s="1"/>
      <c r="C3" s="1"/>
      <c r="D3" s="1"/>
      <c r="E3" s="1"/>
      <c r="F3" s="1"/>
      <c r="G3" s="1"/>
      <c r="H3" s="1"/>
      <c r="I3" s="1"/>
      <c r="J3" s="2"/>
      <c r="K3" s="2"/>
      <c r="L3" s="2"/>
      <c r="M3" s="1"/>
      <c r="N3" s="1"/>
      <c r="O3" s="1"/>
      <c r="P3" s="1"/>
      <c r="Q3" s="1"/>
      <c r="R3" s="1"/>
      <c r="S3" s="1"/>
      <c r="T3" s="1"/>
      <c r="U3" s="1"/>
      <c r="V3" s="1"/>
      <c r="W3" s="1"/>
      <c r="X3" s="1"/>
      <c r="Y3" s="1"/>
      <c r="Z3" s="1"/>
      <c r="AA3" s="1"/>
    </row>
    <row r="4" spans="1:27" x14ac:dyDescent="0.25">
      <c r="A4" s="1"/>
      <c r="B4" s="1"/>
      <c r="C4" s="1"/>
      <c r="D4" s="1"/>
      <c r="E4" s="1"/>
      <c r="F4" s="1"/>
      <c r="G4" s="1"/>
      <c r="H4" s="1"/>
      <c r="I4" s="3"/>
      <c r="J4" s="4"/>
      <c r="K4" s="3"/>
      <c r="L4" s="3"/>
      <c r="M4" s="4"/>
      <c r="N4" s="3"/>
      <c r="O4" s="1"/>
      <c r="P4" s="1"/>
      <c r="Q4" s="1"/>
      <c r="R4" s="1"/>
      <c r="S4" s="1"/>
      <c r="T4" s="1"/>
      <c r="U4" s="1"/>
      <c r="V4" s="1"/>
      <c r="W4" s="1"/>
      <c r="X4" s="1"/>
      <c r="Y4" s="1"/>
      <c r="Z4" s="1"/>
      <c r="AA4" s="1"/>
    </row>
    <row r="5" spans="1:27" x14ac:dyDescent="0.25">
      <c r="A5" s="1"/>
      <c r="B5" s="1"/>
      <c r="C5" s="1"/>
      <c r="D5" s="1"/>
      <c r="E5" s="1"/>
      <c r="F5" s="1"/>
      <c r="G5" s="1"/>
      <c r="H5" s="1"/>
      <c r="I5" s="3"/>
      <c r="J5" s="3"/>
      <c r="K5" s="3"/>
      <c r="L5" s="3"/>
      <c r="M5" s="3"/>
      <c r="N5" s="3"/>
      <c r="O5" s="1"/>
      <c r="P5" s="1"/>
      <c r="Q5" s="1"/>
      <c r="R5" s="1"/>
      <c r="S5" s="1"/>
      <c r="T5" s="1"/>
      <c r="U5" s="1"/>
      <c r="V5" s="1"/>
      <c r="W5" s="1"/>
      <c r="X5" s="1"/>
      <c r="Y5" s="1"/>
      <c r="Z5" s="1"/>
      <c r="AA5" s="1"/>
    </row>
    <row r="6" spans="1:27" x14ac:dyDescent="0.25">
      <c r="A6" s="1"/>
      <c r="B6" s="1"/>
      <c r="C6" s="1"/>
      <c r="D6" s="1"/>
      <c r="E6" s="1"/>
      <c r="F6" s="1"/>
      <c r="G6" s="1"/>
      <c r="H6" s="1"/>
      <c r="I6" s="3"/>
      <c r="J6" s="3"/>
      <c r="K6" s="3"/>
      <c r="L6" s="3"/>
      <c r="M6" s="3"/>
      <c r="N6" s="3"/>
      <c r="O6" s="1"/>
      <c r="P6" s="1"/>
      <c r="Q6" s="1"/>
      <c r="R6" s="1"/>
      <c r="S6" s="1"/>
      <c r="T6" s="1"/>
      <c r="U6" s="1"/>
      <c r="V6" s="1"/>
      <c r="W6" s="1"/>
      <c r="X6" s="1"/>
      <c r="Y6" s="1"/>
      <c r="Z6" s="1"/>
      <c r="AA6" s="1"/>
    </row>
    <row r="7" spans="1:27" x14ac:dyDescent="0.25">
      <c r="A7" s="1"/>
      <c r="B7" s="1"/>
      <c r="C7" s="1"/>
      <c r="D7" s="1"/>
      <c r="E7" s="1"/>
      <c r="F7" s="1"/>
      <c r="G7" s="1"/>
      <c r="H7" s="1"/>
      <c r="I7" s="3"/>
      <c r="J7" s="3"/>
      <c r="K7" s="3"/>
      <c r="L7" s="3"/>
      <c r="M7" s="3"/>
      <c r="N7" s="3"/>
      <c r="O7" s="1"/>
      <c r="P7" s="1"/>
      <c r="Q7" s="1"/>
      <c r="R7" s="1"/>
      <c r="S7" s="1"/>
      <c r="T7" s="1"/>
      <c r="U7" s="1"/>
      <c r="V7" s="1"/>
      <c r="W7" s="1"/>
      <c r="X7" s="1"/>
      <c r="Y7" s="1"/>
      <c r="Z7" s="1"/>
      <c r="AA7" s="1"/>
    </row>
    <row r="8" spans="1:27" x14ac:dyDescent="0.25">
      <c r="A8" s="1"/>
      <c r="B8" s="1"/>
      <c r="C8" s="1"/>
      <c r="D8" s="1"/>
      <c r="E8" s="1"/>
      <c r="F8" s="1"/>
      <c r="G8" s="1"/>
      <c r="H8" s="1"/>
      <c r="I8" s="1"/>
      <c r="J8" s="1"/>
      <c r="K8" s="1"/>
      <c r="L8" s="1"/>
      <c r="M8" s="1"/>
      <c r="N8" s="1"/>
      <c r="O8" s="1"/>
      <c r="P8" s="1"/>
      <c r="Q8" s="1"/>
      <c r="R8" s="1"/>
      <c r="S8" s="1"/>
      <c r="T8" s="1"/>
      <c r="U8" s="1"/>
      <c r="V8" s="1"/>
      <c r="W8" s="1"/>
      <c r="X8" s="1"/>
      <c r="Y8" s="1"/>
      <c r="Z8" s="1"/>
      <c r="AA8" s="1"/>
    </row>
    <row r="9" spans="1:27" x14ac:dyDescent="0.25">
      <c r="A9" s="1"/>
      <c r="B9" s="1"/>
      <c r="C9" s="1"/>
      <c r="D9" s="1"/>
      <c r="E9" s="1"/>
      <c r="F9" s="1"/>
      <c r="G9" s="1"/>
      <c r="H9" s="1"/>
      <c r="I9" s="1"/>
      <c r="J9" s="1"/>
      <c r="K9" s="1"/>
      <c r="L9" s="1"/>
      <c r="M9" s="1"/>
      <c r="N9" s="1"/>
      <c r="O9" s="1"/>
      <c r="P9" s="1"/>
      <c r="Q9" s="1"/>
      <c r="R9" s="1"/>
      <c r="S9" s="1"/>
      <c r="T9" s="1"/>
      <c r="U9" s="1"/>
      <c r="V9" s="1"/>
      <c r="W9" s="1"/>
      <c r="X9" s="1"/>
      <c r="Y9" s="1"/>
      <c r="Z9" s="1"/>
      <c r="AA9" s="1"/>
    </row>
    <row r="10" spans="1:27" x14ac:dyDescent="0.25">
      <c r="A10" s="1"/>
      <c r="B10" s="1"/>
      <c r="C10" s="1"/>
      <c r="D10" s="1"/>
      <c r="E10" s="1"/>
      <c r="F10" s="1"/>
      <c r="G10" s="1"/>
      <c r="H10" s="1"/>
      <c r="I10" s="1"/>
      <c r="J10" s="1"/>
      <c r="K10" s="1"/>
      <c r="L10" s="1"/>
      <c r="M10" s="1"/>
      <c r="N10" s="1"/>
      <c r="O10" s="1"/>
      <c r="P10" s="2"/>
      <c r="Q10" s="1"/>
      <c r="R10" s="1"/>
      <c r="S10" s="1"/>
      <c r="T10" s="1"/>
      <c r="U10" s="1"/>
      <c r="V10" s="1"/>
      <c r="W10" s="1"/>
      <c r="X10" s="1"/>
      <c r="Y10" s="1"/>
      <c r="Z10" s="1"/>
      <c r="AA10" s="1"/>
    </row>
    <row r="11" spans="1:27" x14ac:dyDescent="0.25">
      <c r="A11" s="1"/>
      <c r="B11" s="1"/>
      <c r="C11" s="2"/>
      <c r="D11" s="1"/>
      <c r="E11" s="1"/>
      <c r="F11" s="1"/>
      <c r="G11" s="1"/>
      <c r="H11" s="1"/>
      <c r="I11" s="1"/>
      <c r="J11" s="1"/>
      <c r="K11" s="1"/>
      <c r="L11" s="1"/>
      <c r="M11" s="1"/>
      <c r="N11" s="1"/>
      <c r="O11" s="1"/>
      <c r="P11" s="1"/>
      <c r="Q11" s="1"/>
      <c r="R11" s="1"/>
      <c r="S11" s="1"/>
      <c r="T11" s="1"/>
      <c r="U11" s="1"/>
      <c r="V11" s="1"/>
      <c r="W11" s="1"/>
      <c r="X11" s="1"/>
      <c r="Y11" s="1"/>
      <c r="Z11" s="1"/>
      <c r="AA11" s="1"/>
    </row>
    <row r="12" spans="1:27"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row>
    <row r="13" spans="1:27"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row>
    <row r="14" spans="1:27"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row>
    <row r="15" spans="1:27"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spans="1:27"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spans="1:27"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spans="1:27"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spans="1:27"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spans="1:27"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spans="1:27"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spans="1:27"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spans="1:27"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spans="1:27"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spans="1:27"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spans="1:27"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spans="1:27"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spans="1:27"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spans="1:27"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03"/>
  <sheetViews>
    <sheetView workbookViewId="0"/>
  </sheetViews>
  <sheetFormatPr defaultColWidth="14.42578125" defaultRowHeight="15" customHeight="1" x14ac:dyDescent="0.25"/>
  <cols>
    <col min="1" max="1" width="12.42578125" customWidth="1"/>
    <col min="2" max="2" width="20.28515625" customWidth="1"/>
    <col min="3" max="3" width="15.7109375" customWidth="1"/>
    <col min="4" max="4" width="16.7109375" customWidth="1"/>
    <col min="5" max="5" width="17.5703125" customWidth="1"/>
    <col min="6" max="6" width="9" customWidth="1"/>
    <col min="7" max="7" width="10.5703125" customWidth="1"/>
    <col min="8" max="26" width="8.7109375" customWidth="1"/>
  </cols>
  <sheetData>
    <row r="1" spans="1:2" ht="14.25" customHeight="1" x14ac:dyDescent="0.25"/>
    <row r="2" spans="1:2" ht="14.25" customHeight="1" x14ac:dyDescent="0.25"/>
    <row r="3" spans="1:2" ht="14.25" customHeight="1" x14ac:dyDescent="0.25">
      <c r="A3" s="5" t="s">
        <v>0</v>
      </c>
      <c r="B3" s="6" t="s">
        <v>1</v>
      </c>
    </row>
    <row r="4" spans="1:2" ht="14.25" customHeight="1" x14ac:dyDescent="0.25">
      <c r="A4" s="7" t="s">
        <v>2</v>
      </c>
      <c r="B4" s="6">
        <v>9000000</v>
      </c>
    </row>
    <row r="5" spans="1:2" ht="14.25" customHeight="1" x14ac:dyDescent="0.25">
      <c r="A5" s="8" t="s">
        <v>3</v>
      </c>
      <c r="B5" s="9">
        <v>12500000</v>
      </c>
    </row>
    <row r="6" spans="1:2" ht="14.25" customHeight="1" x14ac:dyDescent="0.25">
      <c r="A6" s="8" t="s">
        <v>4</v>
      </c>
      <c r="B6" s="9">
        <v>6750000</v>
      </c>
    </row>
    <row r="7" spans="1:2" ht="14.25" customHeight="1" x14ac:dyDescent="0.25">
      <c r="A7" s="8" t="s">
        <v>5</v>
      </c>
      <c r="B7" s="9">
        <v>7750000</v>
      </c>
    </row>
    <row r="8" spans="1:2" ht="14.25" customHeight="1" x14ac:dyDescent="0.25">
      <c r="A8" s="8" t="s">
        <v>6</v>
      </c>
      <c r="B8" s="9">
        <v>8000000</v>
      </c>
    </row>
    <row r="9" spans="1:2" ht="14.25" customHeight="1" x14ac:dyDescent="0.25">
      <c r="A9" s="10" t="s">
        <v>7</v>
      </c>
      <c r="B9" s="11">
        <v>8800000</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spans="1:2" ht="14.25" customHeight="1" x14ac:dyDescent="0.25"/>
    <row r="450" spans="1:2" ht="14.25" customHeight="1" x14ac:dyDescent="0.25"/>
    <row r="451" spans="1:2" ht="14.25" customHeight="1" x14ac:dyDescent="0.25"/>
    <row r="452" spans="1:2" ht="14.25" customHeight="1" x14ac:dyDescent="0.25"/>
    <row r="453" spans="1:2" ht="14.25" customHeight="1" x14ac:dyDescent="0.25"/>
    <row r="454" spans="1:2" ht="14.25" customHeight="1" x14ac:dyDescent="0.25"/>
    <row r="455" spans="1:2" ht="14.25" customHeight="1" x14ac:dyDescent="0.25"/>
    <row r="456" spans="1:2" ht="14.25" customHeight="1" x14ac:dyDescent="0.25"/>
    <row r="457" spans="1:2" ht="14.25" customHeight="1" x14ac:dyDescent="0.25"/>
    <row r="458" spans="1:2" ht="14.25" customHeight="1" x14ac:dyDescent="0.25"/>
    <row r="459" spans="1:2" ht="14.25" customHeight="1" x14ac:dyDescent="0.25"/>
    <row r="460" spans="1:2" ht="14.25" customHeight="1" x14ac:dyDescent="0.25"/>
    <row r="461" spans="1:2" ht="14.25" customHeight="1" x14ac:dyDescent="0.25">
      <c r="A461" s="5" t="s">
        <v>0</v>
      </c>
      <c r="B461" s="6" t="s">
        <v>1</v>
      </c>
    </row>
    <row r="462" spans="1:2" ht="14.25" customHeight="1" x14ac:dyDescent="0.25">
      <c r="A462" s="7">
        <v>1</v>
      </c>
      <c r="B462" s="6">
        <v>403065.06024096388</v>
      </c>
    </row>
    <row r="463" spans="1:2" ht="14.25" customHeight="1" x14ac:dyDescent="0.25">
      <c r="A463" s="8">
        <v>2</v>
      </c>
      <c r="B463" s="9">
        <v>643970.07633587788</v>
      </c>
    </row>
    <row r="464" spans="1:2" ht="14.25" customHeight="1" x14ac:dyDescent="0.25">
      <c r="A464" s="8">
        <v>3</v>
      </c>
      <c r="B464" s="9">
        <v>1208493.1309904153</v>
      </c>
    </row>
    <row r="465" spans="1:2" ht="14.25" customHeight="1" x14ac:dyDescent="0.25">
      <c r="A465" s="8">
        <v>4</v>
      </c>
      <c r="B465" s="9">
        <v>2281463.3928571427</v>
      </c>
    </row>
    <row r="466" spans="1:2" ht="14.25" customHeight="1" x14ac:dyDescent="0.25">
      <c r="A466" s="8">
        <v>5</v>
      </c>
      <c r="B466" s="9">
        <v>2910697.6744186045</v>
      </c>
    </row>
    <row r="467" spans="1:2" ht="14.25" customHeight="1" x14ac:dyDescent="0.25">
      <c r="A467" s="8">
        <v>6</v>
      </c>
      <c r="B467" s="9">
        <v>2908947.3684210526</v>
      </c>
    </row>
    <row r="468" spans="1:2" ht="14.25" customHeight="1" x14ac:dyDescent="0.25">
      <c r="A468" s="8">
        <v>7</v>
      </c>
      <c r="B468" s="9">
        <v>3248571.4285714286</v>
      </c>
    </row>
    <row r="469" spans="1:2" ht="14.25" customHeight="1" x14ac:dyDescent="0.25">
      <c r="A469" s="8">
        <v>8</v>
      </c>
      <c r="B469" s="9">
        <v>2595000</v>
      </c>
    </row>
    <row r="470" spans="1:2" ht="14.25" customHeight="1" x14ac:dyDescent="0.25">
      <c r="A470" s="8">
        <v>9</v>
      </c>
      <c r="B470" s="9">
        <v>2450000</v>
      </c>
    </row>
    <row r="471" spans="1:2" ht="14.25" customHeight="1" x14ac:dyDescent="0.25">
      <c r="A471" s="8">
        <v>10</v>
      </c>
      <c r="B471" s="9">
        <v>1700000</v>
      </c>
    </row>
    <row r="472" spans="1:2" ht="14.25" customHeight="1" x14ac:dyDescent="0.25">
      <c r="A472" s="8">
        <v>11</v>
      </c>
      <c r="B472" s="9">
        <v>2900000</v>
      </c>
    </row>
    <row r="473" spans="1:2" ht="14.25" customHeight="1" x14ac:dyDescent="0.25">
      <c r="A473" s="8">
        <v>14</v>
      </c>
      <c r="B473" s="9">
        <v>5000000</v>
      </c>
    </row>
    <row r="474" spans="1:2" ht="14.25" customHeight="1" x14ac:dyDescent="0.25">
      <c r="A474" s="10" t="s">
        <v>7</v>
      </c>
      <c r="B474" s="11">
        <v>1081718.764940239</v>
      </c>
    </row>
    <row r="475" spans="1:2" ht="14.25" customHeight="1" x14ac:dyDescent="0.25"/>
    <row r="476" spans="1:2" ht="14.25" customHeight="1" x14ac:dyDescent="0.25"/>
    <row r="477" spans="1:2" ht="14.25" customHeight="1" x14ac:dyDescent="0.25"/>
    <row r="478" spans="1:2" ht="14.25" customHeight="1" x14ac:dyDescent="0.25"/>
    <row r="479" spans="1:2" ht="14.25" customHeight="1" x14ac:dyDescent="0.25"/>
    <row r="480" spans="1:2" ht="14.25" customHeight="1" x14ac:dyDescent="0.25"/>
    <row r="481" spans="1:2" ht="14.25" customHeight="1" x14ac:dyDescent="0.25">
      <c r="A481" s="5" t="s">
        <v>0</v>
      </c>
      <c r="B481" s="6" t="s">
        <v>8</v>
      </c>
    </row>
    <row r="482" spans="1:2" ht="14.25" customHeight="1" x14ac:dyDescent="0.25">
      <c r="A482" s="7" t="s">
        <v>9</v>
      </c>
      <c r="B482" s="6">
        <v>500478800</v>
      </c>
    </row>
    <row r="483" spans="1:2" ht="14.25" customHeight="1" x14ac:dyDescent="0.25">
      <c r="A483" s="8" t="s">
        <v>10</v>
      </c>
      <c r="B483" s="9">
        <v>757776150</v>
      </c>
    </row>
    <row r="484" spans="1:2" ht="14.25" customHeight="1" x14ac:dyDescent="0.25">
      <c r="A484" s="8" t="s">
        <v>11</v>
      </c>
      <c r="B484" s="9">
        <v>99302100</v>
      </c>
    </row>
    <row r="485" spans="1:2" ht="14.25" customHeight="1" x14ac:dyDescent="0.25">
      <c r="A485" s="10" t="s">
        <v>7</v>
      </c>
      <c r="B485" s="11">
        <v>1357557050</v>
      </c>
    </row>
    <row r="486" spans="1:2" ht="14.25" customHeight="1" x14ac:dyDescent="0.25"/>
    <row r="487" spans="1:2" ht="14.25" customHeight="1" x14ac:dyDescent="0.25"/>
    <row r="488" spans="1:2" ht="14.25" customHeight="1" x14ac:dyDescent="0.25"/>
    <row r="489" spans="1:2" ht="14.25" customHeight="1" x14ac:dyDescent="0.25"/>
    <row r="490" spans="1:2" ht="14.25" customHeight="1" x14ac:dyDescent="0.25"/>
    <row r="491" spans="1:2" ht="14.25" customHeight="1" x14ac:dyDescent="0.25"/>
    <row r="492" spans="1:2" ht="14.25" customHeight="1" x14ac:dyDescent="0.25"/>
    <row r="493" spans="1:2" ht="14.25" customHeight="1" x14ac:dyDescent="0.25"/>
    <row r="494" spans="1:2" ht="14.25" customHeight="1" x14ac:dyDescent="0.25"/>
    <row r="495" spans="1:2" ht="14.25" customHeight="1" x14ac:dyDescent="0.25"/>
    <row r="496" spans="1:2" ht="14.25" customHeight="1" x14ac:dyDescent="0.25"/>
    <row r="497" spans="1:2" ht="14.25" customHeight="1" x14ac:dyDescent="0.25">
      <c r="A497" s="5" t="s">
        <v>0</v>
      </c>
      <c r="B497" s="6" t="s">
        <v>12</v>
      </c>
    </row>
    <row r="498" spans="1:2" ht="14.25" customHeight="1" x14ac:dyDescent="0.25">
      <c r="A498" s="7">
        <v>600</v>
      </c>
      <c r="B498" s="6">
        <v>16</v>
      </c>
    </row>
    <row r="499" spans="1:2" ht="14.25" customHeight="1" x14ac:dyDescent="0.25">
      <c r="A499" s="8">
        <v>950</v>
      </c>
      <c r="B499" s="9">
        <v>12</v>
      </c>
    </row>
    <row r="500" spans="1:2" ht="14.25" customHeight="1" x14ac:dyDescent="0.25">
      <c r="A500" s="8">
        <v>1000</v>
      </c>
      <c r="B500" s="9">
        <v>18</v>
      </c>
    </row>
    <row r="501" spans="1:2" ht="14.25" customHeight="1" x14ac:dyDescent="0.25">
      <c r="A501" s="8">
        <v>1100</v>
      </c>
      <c r="B501" s="9">
        <v>17</v>
      </c>
    </row>
    <row r="502" spans="1:2" ht="14.25" customHeight="1" x14ac:dyDescent="0.25">
      <c r="A502" s="8">
        <v>1200</v>
      </c>
      <c r="B502" s="9">
        <v>78</v>
      </c>
    </row>
    <row r="503" spans="1:2" ht="14.25" customHeight="1" x14ac:dyDescent="0.25">
      <c r="A503" s="8">
        <v>1500</v>
      </c>
      <c r="B503" s="9">
        <v>27</v>
      </c>
    </row>
    <row r="504" spans="1:2" ht="14.25" customHeight="1" x14ac:dyDescent="0.25">
      <c r="A504" s="8">
        <v>1559</v>
      </c>
      <c r="B504" s="9">
        <v>31</v>
      </c>
    </row>
    <row r="505" spans="1:2" ht="14.25" customHeight="1" x14ac:dyDescent="0.25">
      <c r="A505" s="8">
        <v>1600</v>
      </c>
      <c r="B505" s="9">
        <v>14</v>
      </c>
    </row>
    <row r="506" spans="1:2" ht="14.25" customHeight="1" x14ac:dyDescent="0.25">
      <c r="A506" s="8">
        <v>1800</v>
      </c>
      <c r="B506" s="9">
        <v>12</v>
      </c>
    </row>
    <row r="507" spans="1:2" ht="14.25" customHeight="1" x14ac:dyDescent="0.25">
      <c r="A507" s="8">
        <v>2400</v>
      </c>
      <c r="B507" s="9">
        <v>13</v>
      </c>
    </row>
    <row r="508" spans="1:2" ht="14.25" customHeight="1" x14ac:dyDescent="0.25">
      <c r="A508" s="10" t="s">
        <v>7</v>
      </c>
      <c r="B508" s="11">
        <v>238</v>
      </c>
    </row>
    <row r="509" spans="1:2" ht="14.25" customHeight="1" x14ac:dyDescent="0.25"/>
    <row r="510" spans="1:2" ht="14.25" customHeight="1" x14ac:dyDescent="0.25"/>
    <row r="511" spans="1:2" ht="14.25" customHeight="1" x14ac:dyDescent="0.25"/>
    <row r="512" spans="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row r="1006" ht="14.25" customHeight="1" x14ac:dyDescent="0.25"/>
    <row r="1007" ht="14.25" customHeight="1" x14ac:dyDescent="0.25"/>
    <row r="1008" ht="14.25" customHeight="1" x14ac:dyDescent="0.25"/>
    <row r="1009" ht="14.25" customHeight="1" x14ac:dyDescent="0.25"/>
    <row r="1010" ht="14.25" customHeight="1" x14ac:dyDescent="0.25"/>
    <row r="1011" ht="14.25" customHeight="1" x14ac:dyDescent="0.25"/>
    <row r="1012" ht="14.25" customHeight="1" x14ac:dyDescent="0.25"/>
    <row r="1013" ht="14.25" customHeight="1" x14ac:dyDescent="0.25"/>
    <row r="1014" ht="14.25" customHeight="1" x14ac:dyDescent="0.25"/>
    <row r="1015" ht="14.25" customHeight="1" x14ac:dyDescent="0.25"/>
    <row r="1016" ht="14.25" customHeight="1" x14ac:dyDescent="0.25"/>
    <row r="1017" ht="14.25" customHeight="1" x14ac:dyDescent="0.25"/>
    <row r="1018" ht="14.25" customHeight="1" x14ac:dyDescent="0.25"/>
    <row r="1019" ht="14.25" customHeight="1" x14ac:dyDescent="0.25"/>
    <row r="1020" ht="14.25" customHeight="1" x14ac:dyDescent="0.25"/>
    <row r="1021" ht="14.25" customHeight="1" x14ac:dyDescent="0.25"/>
    <row r="1022" ht="14.25" customHeight="1" x14ac:dyDescent="0.25"/>
    <row r="1023" ht="14.25" customHeight="1" x14ac:dyDescent="0.25"/>
    <row r="1024" ht="14.25" customHeight="1" x14ac:dyDescent="0.25"/>
    <row r="1025" ht="14.25" customHeight="1" x14ac:dyDescent="0.25"/>
    <row r="1026" ht="14.25" customHeight="1" x14ac:dyDescent="0.25"/>
    <row r="1027" ht="14.25" customHeight="1" x14ac:dyDescent="0.25"/>
    <row r="1028" ht="14.25" customHeight="1" x14ac:dyDescent="0.25"/>
    <row r="1029" ht="14.25" customHeight="1" x14ac:dyDescent="0.25"/>
    <row r="1030" ht="14.25" customHeight="1" x14ac:dyDescent="0.25"/>
    <row r="1031" ht="14.25" customHeight="1" x14ac:dyDescent="0.25"/>
    <row r="1032" ht="14.25" customHeight="1" x14ac:dyDescent="0.25"/>
    <row r="1033" ht="14.25" customHeight="1" x14ac:dyDescent="0.25"/>
    <row r="1034" ht="14.25" customHeight="1" x14ac:dyDescent="0.25"/>
    <row r="1035" ht="14.25" customHeight="1" x14ac:dyDescent="0.25"/>
    <row r="1036" ht="14.25" customHeight="1" x14ac:dyDescent="0.25"/>
    <row r="1037" ht="14.25" customHeight="1" x14ac:dyDescent="0.25"/>
    <row r="1038" ht="14.25" customHeight="1" x14ac:dyDescent="0.25"/>
    <row r="1039" ht="14.25" customHeight="1" x14ac:dyDescent="0.25"/>
    <row r="1040" ht="14.25" customHeight="1" x14ac:dyDescent="0.25"/>
    <row r="1041" ht="14.25" customHeight="1" x14ac:dyDescent="0.25"/>
    <row r="1042" ht="14.25" customHeight="1" x14ac:dyDescent="0.25"/>
    <row r="1043" ht="14.25" customHeight="1" x14ac:dyDescent="0.25"/>
    <row r="1044" ht="14.25" customHeight="1" x14ac:dyDescent="0.25"/>
    <row r="1045" ht="14.25" customHeight="1" x14ac:dyDescent="0.25"/>
    <row r="1046" ht="14.25" customHeight="1" x14ac:dyDescent="0.25"/>
    <row r="1047" ht="14.25" customHeight="1" x14ac:dyDescent="0.25"/>
    <row r="1048" ht="14.25" customHeight="1" x14ac:dyDescent="0.25"/>
    <row r="1049" ht="14.25" customHeight="1" x14ac:dyDescent="0.25"/>
    <row r="1050" ht="14.25" customHeight="1" x14ac:dyDescent="0.25"/>
    <row r="1051" ht="14.25" customHeight="1" x14ac:dyDescent="0.25"/>
    <row r="1052" ht="14.25" customHeight="1" x14ac:dyDescent="0.25"/>
    <row r="1053" ht="14.25" customHeight="1" x14ac:dyDescent="0.25"/>
    <row r="1054" ht="14.25" customHeight="1" x14ac:dyDescent="0.25"/>
    <row r="1055" ht="14.25" customHeight="1" x14ac:dyDescent="0.25"/>
    <row r="1056" ht="14.25" customHeight="1" x14ac:dyDescent="0.25"/>
    <row r="1057" spans="1:7" ht="14.25" customHeight="1" x14ac:dyDescent="0.25"/>
    <row r="1058" spans="1:7" ht="14.25" customHeight="1" x14ac:dyDescent="0.25"/>
    <row r="1059" spans="1:7" ht="14.25" customHeight="1" x14ac:dyDescent="0.25"/>
    <row r="1060" spans="1:7" ht="14.25" customHeight="1" x14ac:dyDescent="0.25"/>
    <row r="1061" spans="1:7" ht="14.25" customHeight="1" x14ac:dyDescent="0.25"/>
    <row r="1062" spans="1:7" ht="14.25" customHeight="1" x14ac:dyDescent="0.25"/>
    <row r="1063" spans="1:7" ht="14.25" customHeight="1" x14ac:dyDescent="0.25"/>
    <row r="1064" spans="1:7" ht="14.25" customHeight="1" x14ac:dyDescent="0.25"/>
    <row r="1065" spans="1:7" ht="14.25" customHeight="1" x14ac:dyDescent="0.25"/>
    <row r="1066" spans="1:7" ht="14.25" customHeight="1" x14ac:dyDescent="0.25"/>
    <row r="1067" spans="1:7" ht="14.25" customHeight="1" x14ac:dyDescent="0.25"/>
    <row r="1068" spans="1:7" ht="14.25" customHeight="1" x14ac:dyDescent="0.25">
      <c r="A1068" s="5" t="s">
        <v>1</v>
      </c>
      <c r="B1068" s="5" t="s">
        <v>13</v>
      </c>
      <c r="C1068" s="12"/>
      <c r="D1068" s="12"/>
      <c r="E1068" s="12"/>
      <c r="F1068" s="12"/>
      <c r="G1068" s="13"/>
    </row>
    <row r="1069" spans="1:7" ht="14.25" customHeight="1" x14ac:dyDescent="0.25">
      <c r="A1069" s="5" t="s">
        <v>0</v>
      </c>
      <c r="B1069" s="5" t="s">
        <v>2</v>
      </c>
      <c r="C1069" s="14" t="s">
        <v>3</v>
      </c>
      <c r="D1069" s="14" t="s">
        <v>4</v>
      </c>
      <c r="E1069" s="14" t="s">
        <v>5</v>
      </c>
      <c r="F1069" s="14" t="s">
        <v>6</v>
      </c>
      <c r="G1069" s="6" t="s">
        <v>7</v>
      </c>
    </row>
    <row r="1070" spans="1:7" ht="14.25" customHeight="1" x14ac:dyDescent="0.25">
      <c r="A1070" s="7">
        <v>1</v>
      </c>
      <c r="B1070" s="5"/>
      <c r="C1070" s="14"/>
      <c r="D1070" s="14"/>
      <c r="E1070" s="14"/>
      <c r="F1070" s="14"/>
      <c r="G1070" s="6"/>
    </row>
    <row r="1071" spans="1:7" ht="14.25" customHeight="1" x14ac:dyDescent="0.25">
      <c r="A1071" s="8">
        <v>2</v>
      </c>
      <c r="B1071" s="15"/>
      <c r="C1071" s="16"/>
      <c r="D1071" s="16"/>
      <c r="E1071" s="16"/>
      <c r="F1071" s="16"/>
      <c r="G1071" s="9"/>
    </row>
    <row r="1072" spans="1:7" ht="14.25" customHeight="1" x14ac:dyDescent="0.25">
      <c r="A1072" s="8">
        <v>3</v>
      </c>
      <c r="B1072" s="15"/>
      <c r="C1072" s="16"/>
      <c r="D1072" s="16"/>
      <c r="E1072" s="16"/>
      <c r="F1072" s="16">
        <v>8000000</v>
      </c>
      <c r="G1072" s="9">
        <v>8000000</v>
      </c>
    </row>
    <row r="1073" spans="1:7" ht="14.25" customHeight="1" x14ac:dyDescent="0.25">
      <c r="A1073" s="8">
        <v>4</v>
      </c>
      <c r="B1073" s="15"/>
      <c r="C1073" s="16">
        <v>12500000</v>
      </c>
      <c r="D1073" s="16">
        <v>6750000</v>
      </c>
      <c r="E1073" s="16"/>
      <c r="F1073" s="16"/>
      <c r="G1073" s="9">
        <v>9625000</v>
      </c>
    </row>
    <row r="1074" spans="1:7" ht="14.25" customHeight="1" x14ac:dyDescent="0.25">
      <c r="A1074" s="8">
        <v>5</v>
      </c>
      <c r="B1074" s="15">
        <v>9000000</v>
      </c>
      <c r="C1074" s="16"/>
      <c r="D1074" s="16"/>
      <c r="E1074" s="16">
        <v>7750000</v>
      </c>
      <c r="F1074" s="16"/>
      <c r="G1074" s="9">
        <v>8375000</v>
      </c>
    </row>
    <row r="1075" spans="1:7" ht="14.25" customHeight="1" x14ac:dyDescent="0.25">
      <c r="A1075" s="8">
        <v>6</v>
      </c>
      <c r="B1075" s="15"/>
      <c r="C1075" s="16"/>
      <c r="D1075" s="16"/>
      <c r="E1075" s="16"/>
      <c r="F1075" s="16"/>
      <c r="G1075" s="9"/>
    </row>
    <row r="1076" spans="1:7" ht="14.25" customHeight="1" x14ac:dyDescent="0.25">
      <c r="A1076" s="8">
        <v>7</v>
      </c>
      <c r="B1076" s="15"/>
      <c r="C1076" s="16"/>
      <c r="D1076" s="16"/>
      <c r="E1076" s="16"/>
      <c r="F1076" s="16"/>
      <c r="G1076" s="9"/>
    </row>
    <row r="1077" spans="1:7" ht="14.25" customHeight="1" x14ac:dyDescent="0.25">
      <c r="A1077" s="8">
        <v>8</v>
      </c>
      <c r="B1077" s="15"/>
      <c r="C1077" s="16"/>
      <c r="D1077" s="16"/>
      <c r="E1077" s="16"/>
      <c r="F1077" s="16"/>
      <c r="G1077" s="9"/>
    </row>
    <row r="1078" spans="1:7" ht="14.25" customHeight="1" x14ac:dyDescent="0.25">
      <c r="A1078" s="8">
        <v>9</v>
      </c>
      <c r="B1078" s="15"/>
      <c r="C1078" s="16"/>
      <c r="D1078" s="16"/>
      <c r="E1078" s="16"/>
      <c r="F1078" s="16"/>
      <c r="G1078" s="9"/>
    </row>
    <row r="1079" spans="1:7" ht="14.25" customHeight="1" x14ac:dyDescent="0.25">
      <c r="A1079" s="8">
        <v>10</v>
      </c>
      <c r="B1079" s="15"/>
      <c r="C1079" s="16"/>
      <c r="D1079" s="16"/>
      <c r="E1079" s="16"/>
      <c r="F1079" s="16"/>
      <c r="G1079" s="9"/>
    </row>
    <row r="1080" spans="1:7" ht="14.25" customHeight="1" x14ac:dyDescent="0.25">
      <c r="A1080" s="8">
        <v>11</v>
      </c>
      <c r="B1080" s="15"/>
      <c r="C1080" s="16"/>
      <c r="D1080" s="16"/>
      <c r="E1080" s="16"/>
      <c r="F1080" s="16"/>
      <c r="G1080" s="9"/>
    </row>
    <row r="1081" spans="1:7" ht="14.25" customHeight="1" x14ac:dyDescent="0.25">
      <c r="A1081" s="8">
        <v>14</v>
      </c>
      <c r="B1081" s="15"/>
      <c r="C1081" s="16"/>
      <c r="D1081" s="16"/>
      <c r="E1081" s="16"/>
      <c r="F1081" s="16"/>
      <c r="G1081" s="9"/>
    </row>
    <row r="1082" spans="1:7" ht="14.25" customHeight="1" x14ac:dyDescent="0.25">
      <c r="A1082" s="10" t="s">
        <v>7</v>
      </c>
      <c r="B1082" s="17">
        <v>9000000</v>
      </c>
      <c r="C1082" s="18">
        <v>12500000</v>
      </c>
      <c r="D1082" s="18">
        <v>6750000</v>
      </c>
      <c r="E1082" s="18">
        <v>7750000</v>
      </c>
      <c r="F1082" s="18">
        <v>8000000</v>
      </c>
      <c r="G1082" s="11">
        <v>8800000</v>
      </c>
    </row>
    <row r="1083" spans="1:7" ht="14.25" customHeight="1" x14ac:dyDescent="0.25"/>
    <row r="1084" spans="1:7" ht="14.25" customHeight="1" x14ac:dyDescent="0.25"/>
    <row r="1085" spans="1:7" ht="14.25" customHeight="1" x14ac:dyDescent="0.25"/>
    <row r="1086" spans="1:7" ht="14.25" customHeight="1" x14ac:dyDescent="0.25">
      <c r="A1086" s="5" t="s">
        <v>0</v>
      </c>
      <c r="B1086" s="6" t="s">
        <v>14</v>
      </c>
    </row>
    <row r="1087" spans="1:7" ht="14.25" customHeight="1" x14ac:dyDescent="0.25">
      <c r="A1087" s="7" t="s">
        <v>15</v>
      </c>
      <c r="B1087" s="6">
        <v>22</v>
      </c>
    </row>
    <row r="1088" spans="1:7" ht="14.25" customHeight="1" x14ac:dyDescent="0.25">
      <c r="A1088" s="8" t="s">
        <v>16</v>
      </c>
      <c r="B1088" s="9">
        <v>37</v>
      </c>
    </row>
    <row r="1089" spans="1:2" ht="14.25" customHeight="1" x14ac:dyDescent="0.25">
      <c r="A1089" s="8" t="s">
        <v>17</v>
      </c>
      <c r="B1089" s="9">
        <v>18</v>
      </c>
    </row>
    <row r="1090" spans="1:2" ht="14.25" customHeight="1" x14ac:dyDescent="0.25">
      <c r="A1090" s="8" t="s">
        <v>18</v>
      </c>
      <c r="B1090" s="9">
        <v>17</v>
      </c>
    </row>
    <row r="1091" spans="1:2" ht="14.25" customHeight="1" x14ac:dyDescent="0.25">
      <c r="A1091" s="8" t="s">
        <v>19</v>
      </c>
      <c r="B1091" s="9">
        <v>27</v>
      </c>
    </row>
    <row r="1092" spans="1:2" ht="14.25" customHeight="1" x14ac:dyDescent="0.25">
      <c r="A1092" s="8" t="s">
        <v>20</v>
      </c>
      <c r="B1092" s="9">
        <v>22</v>
      </c>
    </row>
    <row r="1093" spans="1:2" ht="14.25" customHeight="1" x14ac:dyDescent="0.25">
      <c r="A1093" s="8" t="s">
        <v>21</v>
      </c>
      <c r="B1093" s="9">
        <v>17</v>
      </c>
    </row>
    <row r="1094" spans="1:2" ht="14.25" customHeight="1" x14ac:dyDescent="0.25">
      <c r="A1094" s="8" t="s">
        <v>22</v>
      </c>
      <c r="B1094" s="9">
        <v>28</v>
      </c>
    </row>
    <row r="1095" spans="1:2" ht="14.25" customHeight="1" x14ac:dyDescent="0.25">
      <c r="A1095" s="8" t="s">
        <v>23</v>
      </c>
      <c r="B1095" s="9">
        <v>25</v>
      </c>
    </row>
    <row r="1096" spans="1:2" ht="14.25" customHeight="1" x14ac:dyDescent="0.25">
      <c r="A1096" s="8" t="s">
        <v>24</v>
      </c>
      <c r="B1096" s="9">
        <v>17</v>
      </c>
    </row>
    <row r="1097" spans="1:2" ht="14.25" customHeight="1" x14ac:dyDescent="0.25">
      <c r="A1097" s="8" t="s">
        <v>25</v>
      </c>
      <c r="B1097" s="9">
        <v>48</v>
      </c>
    </row>
    <row r="1098" spans="1:2" ht="14.25" customHeight="1" x14ac:dyDescent="0.25">
      <c r="A1098" s="8" t="s">
        <v>26</v>
      </c>
      <c r="B1098" s="9">
        <v>21</v>
      </c>
    </row>
    <row r="1099" spans="1:2" ht="14.25" customHeight="1" x14ac:dyDescent="0.25">
      <c r="A1099" s="10" t="s">
        <v>7</v>
      </c>
      <c r="B1099" s="11">
        <v>299</v>
      </c>
    </row>
    <row r="1100" spans="1:2" ht="14.25" customHeight="1" x14ac:dyDescent="0.25"/>
    <row r="1101" spans="1:2" ht="14.25" customHeight="1" x14ac:dyDescent="0.25"/>
    <row r="1102" spans="1:2" ht="14.25" customHeight="1" x14ac:dyDescent="0.25"/>
    <row r="1103" spans="1:2" ht="14.25" customHeight="1" x14ac:dyDescent="0.25"/>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J1000"/>
  <sheetViews>
    <sheetView topLeftCell="A22" workbookViewId="0">
      <selection activeCell="H72" sqref="H72"/>
    </sheetView>
  </sheetViews>
  <sheetFormatPr defaultColWidth="14.42578125" defaultRowHeight="15" customHeight="1" x14ac:dyDescent="0.25"/>
  <cols>
    <col min="1" max="1" width="13.140625" customWidth="1"/>
    <col min="2" max="2" width="16.28515625" customWidth="1"/>
    <col min="3" max="3" width="10" customWidth="1"/>
    <col min="4" max="4" width="9" customWidth="1"/>
    <col min="5" max="5" width="8" customWidth="1"/>
    <col min="6" max="6" width="11.28515625" customWidth="1"/>
    <col min="7" max="8" width="8.7109375" customWidth="1"/>
    <col min="9" max="9" width="13.140625" bestFit="1" customWidth="1"/>
    <col min="10" max="10" width="16.140625" bestFit="1" customWidth="1"/>
    <col min="11" max="26" width="8.7109375" customWidth="1"/>
  </cols>
  <sheetData>
    <row r="3" spans="1:2" x14ac:dyDescent="0.25">
      <c r="A3" s="19" t="s">
        <v>0</v>
      </c>
      <c r="B3" s="19" t="s">
        <v>8</v>
      </c>
    </row>
    <row r="4" spans="1:2" x14ac:dyDescent="0.25">
      <c r="A4" s="20" t="s">
        <v>9</v>
      </c>
      <c r="B4" s="19">
        <v>124580000</v>
      </c>
    </row>
    <row r="5" spans="1:2" x14ac:dyDescent="0.25">
      <c r="A5" s="20" t="s">
        <v>10</v>
      </c>
      <c r="B5" s="19">
        <v>344673950</v>
      </c>
    </row>
    <row r="6" spans="1:2" x14ac:dyDescent="0.25">
      <c r="A6" s="20" t="s">
        <v>11</v>
      </c>
      <c r="B6" s="19">
        <v>6890000</v>
      </c>
    </row>
    <row r="7" spans="1:2" x14ac:dyDescent="0.25">
      <c r="A7" s="20" t="s">
        <v>7</v>
      </c>
      <c r="B7" s="19">
        <v>476143950</v>
      </c>
    </row>
    <row r="14" spans="1:2" x14ac:dyDescent="0.25">
      <c r="A14" s="19" t="s">
        <v>0</v>
      </c>
      <c r="B14" s="19" t="s">
        <v>8</v>
      </c>
    </row>
    <row r="15" spans="1:2" x14ac:dyDescent="0.25">
      <c r="A15" s="20" t="s">
        <v>27</v>
      </c>
      <c r="B15" s="19">
        <v>476143950</v>
      </c>
    </row>
    <row r="16" spans="1:2" x14ac:dyDescent="0.25">
      <c r="A16" s="20" t="s">
        <v>7</v>
      </c>
      <c r="B16" s="19">
        <v>476143950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spans="1:2" ht="15.75" customHeight="1" x14ac:dyDescent="0.25"/>
    <row r="34" spans="1:2" ht="15.75" customHeight="1" x14ac:dyDescent="0.25">
      <c r="A34" s="19" t="s">
        <v>0</v>
      </c>
      <c r="B34" s="19" t="s">
        <v>8</v>
      </c>
    </row>
    <row r="35" spans="1:2" ht="15.75" customHeight="1" x14ac:dyDescent="0.25">
      <c r="A35" s="20" t="s">
        <v>28</v>
      </c>
      <c r="B35" s="19">
        <v>1940000</v>
      </c>
    </row>
    <row r="36" spans="1:2" ht="15.75" customHeight="1" x14ac:dyDescent="0.25">
      <c r="A36" s="20" t="s">
        <v>29</v>
      </c>
      <c r="B36" s="19">
        <v>900000</v>
      </c>
    </row>
    <row r="37" spans="1:2" ht="15.75" customHeight="1" x14ac:dyDescent="0.25">
      <c r="A37" s="20" t="s">
        <v>30</v>
      </c>
      <c r="B37" s="19">
        <v>4990000</v>
      </c>
    </row>
    <row r="38" spans="1:2" ht="15.75" customHeight="1" x14ac:dyDescent="0.25">
      <c r="A38" s="20" t="s">
        <v>31</v>
      </c>
      <c r="B38" s="19">
        <v>6600000</v>
      </c>
    </row>
    <row r="39" spans="1:2" ht="15.75" customHeight="1" x14ac:dyDescent="0.25">
      <c r="A39" s="20" t="s">
        <v>15</v>
      </c>
      <c r="B39" s="19">
        <v>9910000</v>
      </c>
    </row>
    <row r="40" spans="1:2" ht="15.75" customHeight="1" x14ac:dyDescent="0.25">
      <c r="A40" s="20" t="s">
        <v>32</v>
      </c>
      <c r="B40" s="19">
        <v>3000000</v>
      </c>
    </row>
    <row r="41" spans="1:2" ht="15.75" customHeight="1" x14ac:dyDescent="0.25">
      <c r="A41" s="20" t="s">
        <v>33</v>
      </c>
      <c r="B41" s="19">
        <v>435000</v>
      </c>
    </row>
    <row r="42" spans="1:2" ht="15.75" customHeight="1" x14ac:dyDescent="0.25">
      <c r="A42" s="20" t="s">
        <v>34</v>
      </c>
      <c r="B42" s="19">
        <v>980000</v>
      </c>
    </row>
    <row r="43" spans="1:2" ht="15.75" customHeight="1" x14ac:dyDescent="0.25">
      <c r="A43" s="20" t="s">
        <v>35</v>
      </c>
      <c r="B43" s="19">
        <v>5201000</v>
      </c>
    </row>
    <row r="44" spans="1:2" ht="15.75" customHeight="1" x14ac:dyDescent="0.25">
      <c r="A44" s="20" t="s">
        <v>36</v>
      </c>
      <c r="B44" s="19">
        <v>2850000</v>
      </c>
    </row>
    <row r="45" spans="1:2" ht="15.75" customHeight="1" x14ac:dyDescent="0.25">
      <c r="A45" s="20" t="s">
        <v>37</v>
      </c>
      <c r="B45" s="19">
        <v>1650000</v>
      </c>
    </row>
    <row r="46" spans="1:2" ht="15.75" customHeight="1" x14ac:dyDescent="0.25">
      <c r="A46" s="20" t="s">
        <v>38</v>
      </c>
      <c r="B46" s="19">
        <v>1300000</v>
      </c>
    </row>
    <row r="47" spans="1:2" ht="15.75" customHeight="1" x14ac:dyDescent="0.25">
      <c r="A47" s="20" t="s">
        <v>39</v>
      </c>
      <c r="B47" s="19">
        <v>880000</v>
      </c>
    </row>
    <row r="48" spans="1:2" ht="15.75" customHeight="1" x14ac:dyDescent="0.25">
      <c r="A48" s="20" t="s">
        <v>40</v>
      </c>
      <c r="B48" s="19">
        <v>1390000</v>
      </c>
    </row>
    <row r="49" spans="1:2" ht="15.75" customHeight="1" x14ac:dyDescent="0.25">
      <c r="A49" s="20" t="s">
        <v>41</v>
      </c>
      <c r="B49" s="19">
        <v>1000000</v>
      </c>
    </row>
    <row r="50" spans="1:2" ht="15.75" customHeight="1" x14ac:dyDescent="0.25">
      <c r="A50" s="20" t="s">
        <v>42</v>
      </c>
      <c r="B50" s="19">
        <v>2350000</v>
      </c>
    </row>
    <row r="51" spans="1:2" ht="15.75" customHeight="1" x14ac:dyDescent="0.25">
      <c r="A51" s="20" t="s">
        <v>43</v>
      </c>
      <c r="B51" s="19">
        <v>840000</v>
      </c>
    </row>
    <row r="52" spans="1:2" ht="15.75" customHeight="1" x14ac:dyDescent="0.25">
      <c r="A52" s="20" t="s">
        <v>44</v>
      </c>
      <c r="B52" s="19">
        <v>1200000</v>
      </c>
    </row>
    <row r="53" spans="1:2" ht="15.75" customHeight="1" x14ac:dyDescent="0.25">
      <c r="A53" s="20" t="s">
        <v>45</v>
      </c>
      <c r="B53" s="19">
        <v>985000</v>
      </c>
    </row>
    <row r="54" spans="1:2" ht="15.75" customHeight="1" x14ac:dyDescent="0.25">
      <c r="A54" s="20" t="s">
        <v>46</v>
      </c>
      <c r="B54" s="19">
        <v>434000</v>
      </c>
    </row>
    <row r="55" spans="1:2" ht="15.75" customHeight="1" x14ac:dyDescent="0.25">
      <c r="A55" s="20" t="s">
        <v>47</v>
      </c>
      <c r="B55" s="19">
        <v>790000</v>
      </c>
    </row>
    <row r="56" spans="1:2" ht="15.75" customHeight="1" x14ac:dyDescent="0.25">
      <c r="A56" s="20" t="s">
        <v>48</v>
      </c>
      <c r="B56" s="19">
        <v>2056400</v>
      </c>
    </row>
    <row r="57" spans="1:2" ht="15.75" customHeight="1" x14ac:dyDescent="0.25">
      <c r="A57" s="20" t="s">
        <v>49</v>
      </c>
      <c r="B57" s="19">
        <v>587000</v>
      </c>
    </row>
    <row r="58" spans="1:2" ht="15.75" customHeight="1" x14ac:dyDescent="0.25">
      <c r="A58" s="20" t="s">
        <v>50</v>
      </c>
      <c r="B58" s="19">
        <v>1250000</v>
      </c>
    </row>
    <row r="59" spans="1:2" ht="15.75" customHeight="1" x14ac:dyDescent="0.25">
      <c r="A59" s="20" t="s">
        <v>51</v>
      </c>
      <c r="B59" s="19">
        <v>580000</v>
      </c>
    </row>
    <row r="60" spans="1:2" ht="15.75" customHeight="1" x14ac:dyDescent="0.25">
      <c r="A60" s="20" t="s">
        <v>52</v>
      </c>
      <c r="B60" s="19">
        <v>4826300</v>
      </c>
    </row>
    <row r="61" spans="1:2" ht="15.75" customHeight="1" x14ac:dyDescent="0.25">
      <c r="A61" s="20" t="s">
        <v>53</v>
      </c>
      <c r="B61" s="19">
        <v>800000</v>
      </c>
    </row>
    <row r="62" spans="1:2" ht="15.75" customHeight="1" x14ac:dyDescent="0.25">
      <c r="A62" s="20" t="s">
        <v>54</v>
      </c>
      <c r="B62" s="19">
        <v>467400</v>
      </c>
    </row>
    <row r="63" spans="1:2" ht="15.75" customHeight="1" x14ac:dyDescent="0.25">
      <c r="A63" s="20" t="s">
        <v>55</v>
      </c>
      <c r="B63" s="19">
        <v>950000</v>
      </c>
    </row>
    <row r="64" spans="1:2" ht="15.75" customHeight="1" x14ac:dyDescent="0.25">
      <c r="A64" s="20" t="s">
        <v>56</v>
      </c>
      <c r="B64" s="19">
        <v>1450000</v>
      </c>
    </row>
    <row r="65" spans="1:2" ht="15.75" customHeight="1" x14ac:dyDescent="0.25">
      <c r="A65" s="20" t="s">
        <v>57</v>
      </c>
      <c r="B65" s="19">
        <v>1870300</v>
      </c>
    </row>
    <row r="66" spans="1:2" ht="15.75" customHeight="1" x14ac:dyDescent="0.25">
      <c r="A66" s="20" t="s">
        <v>58</v>
      </c>
      <c r="B66" s="19">
        <v>1787600</v>
      </c>
    </row>
    <row r="67" spans="1:2" ht="15.75" customHeight="1" x14ac:dyDescent="0.25">
      <c r="A67" s="20" t="s">
        <v>59</v>
      </c>
      <c r="B67" s="19">
        <v>1030000</v>
      </c>
    </row>
    <row r="68" spans="1:2" ht="15.75" customHeight="1" x14ac:dyDescent="0.25">
      <c r="A68" s="20" t="s">
        <v>60</v>
      </c>
      <c r="B68" s="19">
        <v>850000</v>
      </c>
    </row>
    <row r="69" spans="1:2" ht="15.75" customHeight="1" x14ac:dyDescent="0.25">
      <c r="A69" s="20" t="s">
        <v>61</v>
      </c>
      <c r="B69" s="19">
        <v>950000</v>
      </c>
    </row>
    <row r="70" spans="1:2" ht="15.75" customHeight="1" x14ac:dyDescent="0.25">
      <c r="A70" s="20" t="s">
        <v>62</v>
      </c>
      <c r="B70" s="19">
        <v>990000</v>
      </c>
    </row>
    <row r="71" spans="1:2" ht="15.75" customHeight="1" x14ac:dyDescent="0.25">
      <c r="A71" s="20" t="s">
        <v>63</v>
      </c>
      <c r="B71" s="19">
        <v>1100000</v>
      </c>
    </row>
    <row r="72" spans="1:2" ht="15.75" customHeight="1" x14ac:dyDescent="0.25">
      <c r="A72" s="20" t="s">
        <v>64</v>
      </c>
      <c r="B72" s="19">
        <v>1220000</v>
      </c>
    </row>
    <row r="73" spans="1:2" ht="15.75" customHeight="1" x14ac:dyDescent="0.25">
      <c r="A73" s="20" t="s">
        <v>65</v>
      </c>
      <c r="B73" s="19">
        <v>2830000</v>
      </c>
    </row>
    <row r="74" spans="1:2" ht="15.75" customHeight="1" x14ac:dyDescent="0.25">
      <c r="A74" s="20" t="s">
        <v>66</v>
      </c>
      <c r="B74" s="19">
        <v>953600</v>
      </c>
    </row>
    <row r="75" spans="1:2" ht="15.75" customHeight="1" x14ac:dyDescent="0.25">
      <c r="A75" s="20" t="s">
        <v>67</v>
      </c>
      <c r="B75" s="19">
        <v>504000</v>
      </c>
    </row>
    <row r="76" spans="1:2" ht="15.75" customHeight="1" x14ac:dyDescent="0.25">
      <c r="A76" s="20" t="s">
        <v>68</v>
      </c>
      <c r="B76" s="19">
        <v>3230000</v>
      </c>
    </row>
    <row r="77" spans="1:2" ht="15.75" customHeight="1" x14ac:dyDescent="0.25">
      <c r="A77" s="20" t="s">
        <v>69</v>
      </c>
      <c r="B77" s="19">
        <v>1030000</v>
      </c>
    </row>
    <row r="78" spans="1:2" ht="15.75" customHeight="1" x14ac:dyDescent="0.25">
      <c r="A78" s="20" t="s">
        <v>70</v>
      </c>
      <c r="B78" s="19">
        <v>1400000</v>
      </c>
    </row>
    <row r="79" spans="1:2" ht="15.75" customHeight="1" x14ac:dyDescent="0.25">
      <c r="A79" s="20" t="s">
        <v>71</v>
      </c>
      <c r="B79" s="19">
        <v>1650000</v>
      </c>
    </row>
    <row r="80" spans="1:2" ht="15.75" customHeight="1" x14ac:dyDescent="0.25">
      <c r="A80" s="20" t="s">
        <v>72</v>
      </c>
      <c r="B80" s="19">
        <v>900000</v>
      </c>
    </row>
    <row r="81" spans="1:2" ht="15.75" customHeight="1" x14ac:dyDescent="0.25">
      <c r="A81" s="20" t="s">
        <v>73</v>
      </c>
      <c r="B81" s="19">
        <v>1200000</v>
      </c>
    </row>
    <row r="82" spans="1:2" ht="15.75" customHeight="1" x14ac:dyDescent="0.25">
      <c r="A82" s="20" t="s">
        <v>74</v>
      </c>
      <c r="B82" s="19">
        <v>1086300</v>
      </c>
    </row>
    <row r="83" spans="1:2" ht="15.75" customHeight="1" x14ac:dyDescent="0.25">
      <c r="A83" s="20" t="s">
        <v>75</v>
      </c>
      <c r="B83" s="19">
        <v>850500</v>
      </c>
    </row>
    <row r="84" spans="1:2" ht="15.75" customHeight="1" x14ac:dyDescent="0.25">
      <c r="A84" s="20" t="s">
        <v>76</v>
      </c>
      <c r="B84" s="19">
        <v>483300</v>
      </c>
    </row>
    <row r="85" spans="1:2" ht="15.75" customHeight="1" x14ac:dyDescent="0.25">
      <c r="A85" s="20" t="s">
        <v>77</v>
      </c>
      <c r="B85" s="19">
        <v>1000000</v>
      </c>
    </row>
    <row r="86" spans="1:2" ht="15.75" customHeight="1" x14ac:dyDescent="0.25">
      <c r="A86" s="20" t="s">
        <v>78</v>
      </c>
      <c r="B86" s="19">
        <v>561200</v>
      </c>
    </row>
    <row r="87" spans="1:2" ht="15.75" customHeight="1" x14ac:dyDescent="0.25">
      <c r="A87" s="20" t="s">
        <v>79</v>
      </c>
      <c r="B87" s="19">
        <v>1000000</v>
      </c>
    </row>
    <row r="88" spans="1:2" ht="15.75" customHeight="1" x14ac:dyDescent="0.25">
      <c r="A88" s="20" t="s">
        <v>80</v>
      </c>
      <c r="B88" s="19">
        <v>2050000</v>
      </c>
    </row>
    <row r="89" spans="1:2" ht="15.75" customHeight="1" x14ac:dyDescent="0.25">
      <c r="A89" s="20" t="s">
        <v>81</v>
      </c>
      <c r="B89" s="19">
        <v>1700000</v>
      </c>
    </row>
    <row r="90" spans="1:2" ht="15.75" customHeight="1" x14ac:dyDescent="0.25">
      <c r="A90" s="20" t="s">
        <v>82</v>
      </c>
      <c r="B90" s="19">
        <v>1500000</v>
      </c>
    </row>
    <row r="91" spans="1:2" ht="15.75" customHeight="1" x14ac:dyDescent="0.25">
      <c r="A91" s="20" t="s">
        <v>83</v>
      </c>
      <c r="B91" s="19">
        <v>650000</v>
      </c>
    </row>
    <row r="92" spans="1:2" ht="15.75" customHeight="1" x14ac:dyDescent="0.25">
      <c r="A92" s="20" t="s">
        <v>84</v>
      </c>
      <c r="B92" s="19">
        <v>2250000</v>
      </c>
    </row>
    <row r="93" spans="1:2" ht="15.75" customHeight="1" x14ac:dyDescent="0.25">
      <c r="A93" s="20" t="s">
        <v>85</v>
      </c>
      <c r="B93" s="19">
        <v>750000</v>
      </c>
    </row>
    <row r="94" spans="1:2" ht="15.75" customHeight="1" x14ac:dyDescent="0.25">
      <c r="A94" s="20" t="s">
        <v>86</v>
      </c>
      <c r="B94" s="19">
        <v>1433400</v>
      </c>
    </row>
    <row r="95" spans="1:2" ht="15.75" customHeight="1" x14ac:dyDescent="0.25">
      <c r="A95" s="20" t="s">
        <v>87</v>
      </c>
      <c r="B95" s="19">
        <v>440000</v>
      </c>
    </row>
    <row r="96" spans="1:2" ht="15.75" customHeight="1" x14ac:dyDescent="0.25">
      <c r="A96" s="20" t="s">
        <v>88</v>
      </c>
      <c r="B96" s="19">
        <v>644400</v>
      </c>
    </row>
    <row r="97" spans="1:2" ht="15.75" customHeight="1" x14ac:dyDescent="0.25">
      <c r="A97" s="20" t="s">
        <v>89</v>
      </c>
      <c r="B97" s="19">
        <v>750000</v>
      </c>
    </row>
    <row r="98" spans="1:2" ht="15.75" customHeight="1" x14ac:dyDescent="0.25">
      <c r="A98" s="20" t="s">
        <v>90</v>
      </c>
      <c r="B98" s="19">
        <v>700000</v>
      </c>
    </row>
    <row r="99" spans="1:2" ht="15.75" customHeight="1" x14ac:dyDescent="0.25">
      <c r="A99" s="20" t="s">
        <v>91</v>
      </c>
      <c r="B99" s="19">
        <v>900000</v>
      </c>
    </row>
    <row r="100" spans="1:2" ht="15.75" customHeight="1" x14ac:dyDescent="0.25">
      <c r="A100" s="20" t="s">
        <v>92</v>
      </c>
      <c r="B100" s="19">
        <v>255300</v>
      </c>
    </row>
    <row r="101" spans="1:2" ht="15.75" customHeight="1" x14ac:dyDescent="0.25">
      <c r="A101" s="20" t="s">
        <v>93</v>
      </c>
      <c r="B101" s="19">
        <v>1800000</v>
      </c>
    </row>
    <row r="102" spans="1:2" ht="15.75" customHeight="1" x14ac:dyDescent="0.25">
      <c r="A102" s="20" t="s">
        <v>94</v>
      </c>
      <c r="B102" s="19">
        <v>1000000</v>
      </c>
    </row>
    <row r="103" spans="1:2" ht="15.75" customHeight="1" x14ac:dyDescent="0.25">
      <c r="A103" s="20" t="s">
        <v>95</v>
      </c>
      <c r="B103" s="19">
        <v>650000</v>
      </c>
    </row>
    <row r="104" spans="1:2" ht="15.75" customHeight="1" x14ac:dyDescent="0.25">
      <c r="A104" s="20" t="s">
        <v>16</v>
      </c>
      <c r="B104" s="19">
        <v>8955300</v>
      </c>
    </row>
    <row r="105" spans="1:2" ht="15.75" customHeight="1" x14ac:dyDescent="0.25">
      <c r="A105" s="20" t="s">
        <v>96</v>
      </c>
      <c r="B105" s="19">
        <v>756600</v>
      </c>
    </row>
    <row r="106" spans="1:2" ht="15.75" customHeight="1" x14ac:dyDescent="0.25">
      <c r="A106" s="20" t="s">
        <v>97</v>
      </c>
      <c r="B106" s="19">
        <v>2410900</v>
      </c>
    </row>
    <row r="107" spans="1:2" ht="15.75" customHeight="1" x14ac:dyDescent="0.25">
      <c r="A107" s="20" t="s">
        <v>98</v>
      </c>
      <c r="B107" s="19">
        <v>2640000</v>
      </c>
    </row>
    <row r="108" spans="1:2" ht="15.75" customHeight="1" x14ac:dyDescent="0.25">
      <c r="A108" s="20" t="s">
        <v>99</v>
      </c>
      <c r="B108" s="19">
        <v>3920000</v>
      </c>
    </row>
    <row r="109" spans="1:2" ht="15.75" customHeight="1" x14ac:dyDescent="0.25">
      <c r="A109" s="20" t="s">
        <v>100</v>
      </c>
      <c r="B109" s="19">
        <v>608000</v>
      </c>
    </row>
    <row r="110" spans="1:2" ht="15.75" customHeight="1" x14ac:dyDescent="0.25">
      <c r="A110" s="20" t="s">
        <v>101</v>
      </c>
      <c r="B110" s="19">
        <v>860000</v>
      </c>
    </row>
    <row r="111" spans="1:2" ht="15.75" customHeight="1" x14ac:dyDescent="0.25">
      <c r="A111" s="20" t="s">
        <v>102</v>
      </c>
      <c r="B111" s="19">
        <v>2750000</v>
      </c>
    </row>
    <row r="112" spans="1:2" ht="15.75" customHeight="1" x14ac:dyDescent="0.25">
      <c r="A112" s="20" t="s">
        <v>103</v>
      </c>
      <c r="B112" s="19">
        <v>620000</v>
      </c>
    </row>
    <row r="113" spans="1:10" ht="15.75" customHeight="1" x14ac:dyDescent="0.25">
      <c r="A113" s="20" t="s">
        <v>104</v>
      </c>
      <c r="B113" s="19">
        <v>825000</v>
      </c>
    </row>
    <row r="114" spans="1:10" ht="15.75" customHeight="1" x14ac:dyDescent="0.25">
      <c r="A114" s="20" t="s">
        <v>105</v>
      </c>
      <c r="B114" s="19">
        <v>1250000</v>
      </c>
    </row>
    <row r="115" spans="1:10" ht="15.75" customHeight="1" x14ac:dyDescent="0.25">
      <c r="A115" s="20" t="s">
        <v>106</v>
      </c>
      <c r="B115" s="19">
        <v>820000</v>
      </c>
    </row>
    <row r="116" spans="1:10" ht="15.75" customHeight="1" x14ac:dyDescent="0.25">
      <c r="A116" s="20" t="s">
        <v>107</v>
      </c>
      <c r="B116" s="19">
        <v>660000</v>
      </c>
    </row>
    <row r="117" spans="1:10" ht="15.75" customHeight="1" x14ac:dyDescent="0.25">
      <c r="A117" s="20" t="s">
        <v>17</v>
      </c>
      <c r="B117" s="19">
        <v>4370000</v>
      </c>
    </row>
    <row r="118" spans="1:10" ht="15.75" customHeight="1" x14ac:dyDescent="0.25">
      <c r="A118" s="20" t="s">
        <v>108</v>
      </c>
      <c r="B118" s="19">
        <v>4780000</v>
      </c>
    </row>
    <row r="119" spans="1:10" ht="15.75" customHeight="1" x14ac:dyDescent="0.25">
      <c r="A119" s="20" t="s">
        <v>18</v>
      </c>
      <c r="B119" s="19">
        <v>12386800</v>
      </c>
    </row>
    <row r="120" spans="1:10" ht="15.75" customHeight="1" x14ac:dyDescent="0.25">
      <c r="A120" s="20" t="s">
        <v>109</v>
      </c>
      <c r="B120" s="19">
        <v>3300000</v>
      </c>
      <c r="I120" s="28" t="s">
        <v>0</v>
      </c>
      <c r="J120" s="29" t="s">
        <v>1</v>
      </c>
    </row>
    <row r="121" spans="1:10" ht="15.75" customHeight="1" x14ac:dyDescent="0.25">
      <c r="A121" s="20" t="s">
        <v>110</v>
      </c>
      <c r="B121" s="19">
        <v>4930000</v>
      </c>
      <c r="I121" s="30"/>
      <c r="J121" s="33">
        <v>0.31602484035569628</v>
      </c>
    </row>
    <row r="122" spans="1:10" ht="15.75" customHeight="1" x14ac:dyDescent="0.25">
      <c r="A122" s="20" t="s">
        <v>111</v>
      </c>
      <c r="B122" s="19">
        <v>8065800</v>
      </c>
      <c r="I122" s="31" t="s">
        <v>267</v>
      </c>
      <c r="J122" s="34">
        <v>0.33434943586608712</v>
      </c>
    </row>
    <row r="123" spans="1:10" ht="15.75" customHeight="1" x14ac:dyDescent="0.25">
      <c r="A123" s="20" t="s">
        <v>112</v>
      </c>
      <c r="B123" s="19">
        <v>700000</v>
      </c>
      <c r="I123" s="31" t="s">
        <v>352</v>
      </c>
      <c r="J123" s="34">
        <v>3.3280369322232168</v>
      </c>
    </row>
    <row r="124" spans="1:10" ht="15.75" customHeight="1" x14ac:dyDescent="0.25">
      <c r="A124" s="20" t="s">
        <v>113</v>
      </c>
      <c r="B124" s="19">
        <v>2737500</v>
      </c>
      <c r="I124" s="31" t="s">
        <v>262</v>
      </c>
      <c r="J124" s="34">
        <v>0.54043648576269865</v>
      </c>
    </row>
    <row r="125" spans="1:10" ht="15.75" customHeight="1" x14ac:dyDescent="0.25">
      <c r="A125" s="20" t="s">
        <v>114</v>
      </c>
      <c r="B125" s="19">
        <v>790000</v>
      </c>
      <c r="I125" s="31" t="s">
        <v>27</v>
      </c>
      <c r="J125" s="34">
        <v>0.97168546152480062</v>
      </c>
    </row>
    <row r="126" spans="1:10" ht="15.75" customHeight="1" x14ac:dyDescent="0.25">
      <c r="A126" s="20" t="s">
        <v>115</v>
      </c>
      <c r="B126" s="19">
        <v>1214800</v>
      </c>
      <c r="I126" s="31" t="s">
        <v>264</v>
      </c>
      <c r="J126" s="34">
        <v>2.4649078699503737</v>
      </c>
    </row>
    <row r="127" spans="1:10" ht="15.75" customHeight="1" x14ac:dyDescent="0.25">
      <c r="A127" s="20" t="s">
        <v>116</v>
      </c>
      <c r="B127" s="19">
        <v>1210000</v>
      </c>
      <c r="I127" s="31" t="s">
        <v>292</v>
      </c>
      <c r="J127" s="34">
        <v>1.9283826901632106</v>
      </c>
    </row>
    <row r="128" spans="1:10" ht="15.75" customHeight="1" x14ac:dyDescent="0.25">
      <c r="A128" s="20" t="s">
        <v>117</v>
      </c>
      <c r="B128" s="19">
        <v>1650000</v>
      </c>
      <c r="I128" s="31" t="s">
        <v>266</v>
      </c>
      <c r="J128" s="34">
        <v>1.9427244396537584</v>
      </c>
    </row>
    <row r="129" spans="1:10" ht="15.75" customHeight="1" x14ac:dyDescent="0.25">
      <c r="A129" s="20" t="s">
        <v>118</v>
      </c>
      <c r="B129" s="19">
        <v>700000</v>
      </c>
      <c r="I129" s="31" t="s">
        <v>290</v>
      </c>
      <c r="J129" s="34">
        <v>4.9920553983348253</v>
      </c>
    </row>
    <row r="130" spans="1:10" ht="15.75" customHeight="1" x14ac:dyDescent="0.25">
      <c r="A130" s="20" t="s">
        <v>119</v>
      </c>
      <c r="B130" s="19">
        <v>8440000</v>
      </c>
      <c r="I130" s="31" t="s">
        <v>271</v>
      </c>
      <c r="J130" s="34">
        <v>1.5595550846279351</v>
      </c>
    </row>
    <row r="131" spans="1:10" ht="15.75" customHeight="1" x14ac:dyDescent="0.25">
      <c r="A131" s="20" t="s">
        <v>120</v>
      </c>
      <c r="B131" s="19">
        <v>2130000</v>
      </c>
      <c r="I131" s="31" t="s">
        <v>377</v>
      </c>
      <c r="J131" s="34">
        <v>2.3111367584883449</v>
      </c>
    </row>
    <row r="132" spans="1:10" ht="15.75" customHeight="1" x14ac:dyDescent="0.25">
      <c r="A132" s="20" t="s">
        <v>121</v>
      </c>
      <c r="B132" s="19">
        <v>570000</v>
      </c>
      <c r="I132" s="32" t="s">
        <v>7</v>
      </c>
      <c r="J132" s="35">
        <v>1</v>
      </c>
    </row>
    <row r="133" spans="1:10" ht="15.75" customHeight="1" x14ac:dyDescent="0.25">
      <c r="A133" s="20" t="s">
        <v>122</v>
      </c>
      <c r="B133" s="19">
        <v>1960000</v>
      </c>
    </row>
    <row r="134" spans="1:10" ht="15.75" customHeight="1" x14ac:dyDescent="0.25">
      <c r="A134" s="20" t="s">
        <v>123</v>
      </c>
      <c r="B134" s="19">
        <v>1780000</v>
      </c>
    </row>
    <row r="135" spans="1:10" ht="15.75" customHeight="1" x14ac:dyDescent="0.25">
      <c r="A135" s="20" t="s">
        <v>124</v>
      </c>
      <c r="B135" s="19">
        <v>352300</v>
      </c>
    </row>
    <row r="136" spans="1:10" ht="15.75" customHeight="1" x14ac:dyDescent="0.25">
      <c r="A136" s="20" t="s">
        <v>125</v>
      </c>
      <c r="B136" s="19">
        <v>2350000</v>
      </c>
    </row>
    <row r="137" spans="1:10" ht="15.75" customHeight="1" x14ac:dyDescent="0.25">
      <c r="A137" s="20" t="s">
        <v>126</v>
      </c>
      <c r="B137" s="19">
        <v>750000</v>
      </c>
    </row>
    <row r="138" spans="1:10" ht="15.75" customHeight="1" x14ac:dyDescent="0.25">
      <c r="A138" s="20" t="s">
        <v>127</v>
      </c>
      <c r="B138" s="19">
        <v>2140200</v>
      </c>
    </row>
    <row r="139" spans="1:10" ht="15.75" customHeight="1" x14ac:dyDescent="0.25">
      <c r="A139" s="20" t="s">
        <v>128</v>
      </c>
      <c r="B139" s="19">
        <v>700000</v>
      </c>
    </row>
    <row r="140" spans="1:10" ht="15.75" customHeight="1" x14ac:dyDescent="0.25">
      <c r="A140" s="20" t="s">
        <v>129</v>
      </c>
      <c r="B140" s="19">
        <v>3185100</v>
      </c>
    </row>
    <row r="141" spans="1:10" ht="15.75" customHeight="1" x14ac:dyDescent="0.25">
      <c r="A141" s="20" t="s">
        <v>130</v>
      </c>
      <c r="B141" s="19">
        <v>2370000</v>
      </c>
    </row>
    <row r="142" spans="1:10" ht="15.75" customHeight="1" x14ac:dyDescent="0.25">
      <c r="A142" s="20" t="s">
        <v>131</v>
      </c>
      <c r="B142" s="19">
        <v>600000</v>
      </c>
    </row>
    <row r="143" spans="1:10" ht="15.75" customHeight="1" x14ac:dyDescent="0.25">
      <c r="A143" s="20" t="s">
        <v>132</v>
      </c>
      <c r="B143" s="19">
        <v>3500000</v>
      </c>
    </row>
    <row r="144" spans="1:10" ht="15.75" customHeight="1" x14ac:dyDescent="0.25">
      <c r="A144" s="20" t="s">
        <v>133</v>
      </c>
      <c r="B144" s="19">
        <v>550000</v>
      </c>
    </row>
    <row r="145" spans="1:2" ht="15.75" customHeight="1" x14ac:dyDescent="0.25">
      <c r="A145" s="20" t="s">
        <v>134</v>
      </c>
      <c r="B145" s="19">
        <v>1500000</v>
      </c>
    </row>
    <row r="146" spans="1:2" ht="15.75" customHeight="1" x14ac:dyDescent="0.25">
      <c r="A146" s="20" t="s">
        <v>135</v>
      </c>
      <c r="B146" s="19">
        <v>500000</v>
      </c>
    </row>
    <row r="147" spans="1:2" ht="15.75" customHeight="1" x14ac:dyDescent="0.25">
      <c r="A147" s="20" t="s">
        <v>136</v>
      </c>
      <c r="B147" s="19">
        <v>2104500</v>
      </c>
    </row>
    <row r="148" spans="1:2" ht="15.75" customHeight="1" x14ac:dyDescent="0.25">
      <c r="A148" s="20" t="s">
        <v>137</v>
      </c>
      <c r="B148" s="19">
        <v>1393000</v>
      </c>
    </row>
    <row r="149" spans="1:2" ht="15.75" customHeight="1" x14ac:dyDescent="0.25">
      <c r="A149" s="20" t="s">
        <v>138</v>
      </c>
      <c r="B149" s="19">
        <v>550000</v>
      </c>
    </row>
    <row r="150" spans="1:2" ht="15.75" customHeight="1" x14ac:dyDescent="0.25">
      <c r="A150" s="20" t="s">
        <v>139</v>
      </c>
      <c r="B150" s="19">
        <v>2750000</v>
      </c>
    </row>
    <row r="151" spans="1:2" ht="15.75" customHeight="1" x14ac:dyDescent="0.25">
      <c r="A151" s="20" t="s">
        <v>140</v>
      </c>
      <c r="B151" s="19">
        <v>750000</v>
      </c>
    </row>
    <row r="152" spans="1:2" ht="15.75" customHeight="1" x14ac:dyDescent="0.25">
      <c r="A152" s="20" t="s">
        <v>141</v>
      </c>
      <c r="B152" s="19">
        <v>1135000</v>
      </c>
    </row>
    <row r="153" spans="1:2" ht="15.75" customHeight="1" x14ac:dyDescent="0.25">
      <c r="A153" s="20" t="s">
        <v>142</v>
      </c>
      <c r="B153" s="19">
        <v>650000</v>
      </c>
    </row>
    <row r="154" spans="1:2" ht="15.75" customHeight="1" x14ac:dyDescent="0.25">
      <c r="A154" s="20" t="s">
        <v>143</v>
      </c>
      <c r="B154" s="19">
        <v>750000</v>
      </c>
    </row>
    <row r="155" spans="1:2" ht="15.75" customHeight="1" x14ac:dyDescent="0.25">
      <c r="A155" s="20" t="s">
        <v>19</v>
      </c>
      <c r="B155" s="19">
        <v>6129200</v>
      </c>
    </row>
    <row r="156" spans="1:2" ht="15.75" customHeight="1" x14ac:dyDescent="0.25">
      <c r="A156" s="20" t="s">
        <v>144</v>
      </c>
      <c r="B156" s="19">
        <v>900000</v>
      </c>
    </row>
    <row r="157" spans="1:2" ht="15.75" customHeight="1" x14ac:dyDescent="0.25">
      <c r="A157" s="20" t="s">
        <v>145</v>
      </c>
      <c r="B157" s="19">
        <v>4443200</v>
      </c>
    </row>
    <row r="158" spans="1:2" ht="15.75" customHeight="1" x14ac:dyDescent="0.25">
      <c r="A158" s="20" t="s">
        <v>146</v>
      </c>
      <c r="B158" s="19">
        <v>2050000</v>
      </c>
    </row>
    <row r="159" spans="1:2" ht="15.75" customHeight="1" x14ac:dyDescent="0.25">
      <c r="A159" s="20" t="s">
        <v>147</v>
      </c>
      <c r="B159" s="19">
        <v>1457500</v>
      </c>
    </row>
    <row r="160" spans="1:2" ht="15.75" customHeight="1" x14ac:dyDescent="0.25">
      <c r="A160" s="20" t="s">
        <v>148</v>
      </c>
      <c r="B160" s="19">
        <v>640000</v>
      </c>
    </row>
    <row r="161" spans="1:2" ht="15.75" customHeight="1" x14ac:dyDescent="0.25">
      <c r="A161" s="20" t="s">
        <v>149</v>
      </c>
      <c r="B161" s="19">
        <v>660000</v>
      </c>
    </row>
    <row r="162" spans="1:2" ht="15.75" customHeight="1" x14ac:dyDescent="0.25">
      <c r="A162" s="20" t="s">
        <v>150</v>
      </c>
      <c r="B162" s="19">
        <v>1500000</v>
      </c>
    </row>
    <row r="163" spans="1:2" ht="15.75" customHeight="1" x14ac:dyDescent="0.25">
      <c r="A163" s="20" t="s">
        <v>151</v>
      </c>
      <c r="B163" s="19">
        <v>1050000</v>
      </c>
    </row>
    <row r="164" spans="1:2" ht="15.75" customHeight="1" x14ac:dyDescent="0.25">
      <c r="A164" s="20" t="s">
        <v>152</v>
      </c>
      <c r="B164" s="19">
        <v>1840000</v>
      </c>
    </row>
    <row r="165" spans="1:2" ht="15.75" customHeight="1" x14ac:dyDescent="0.25">
      <c r="A165" s="20" t="s">
        <v>153</v>
      </c>
      <c r="B165" s="19">
        <v>570000</v>
      </c>
    </row>
    <row r="166" spans="1:2" ht="15.75" customHeight="1" x14ac:dyDescent="0.25">
      <c r="A166" s="20" t="s">
        <v>154</v>
      </c>
      <c r="B166" s="19">
        <v>650000</v>
      </c>
    </row>
    <row r="167" spans="1:2" ht="15.75" customHeight="1" x14ac:dyDescent="0.25">
      <c r="A167" s="20" t="s">
        <v>155</v>
      </c>
      <c r="B167" s="19">
        <v>1619500</v>
      </c>
    </row>
    <row r="168" spans="1:2" ht="15.75" customHeight="1" x14ac:dyDescent="0.25">
      <c r="A168" s="20" t="s">
        <v>156</v>
      </c>
      <c r="B168" s="19">
        <v>2960000</v>
      </c>
    </row>
    <row r="169" spans="1:2" ht="15.75" customHeight="1" x14ac:dyDescent="0.25">
      <c r="A169" s="20" t="s">
        <v>157</v>
      </c>
      <c r="B169" s="19">
        <v>6550000</v>
      </c>
    </row>
    <row r="170" spans="1:2" ht="15.75" customHeight="1" x14ac:dyDescent="0.25">
      <c r="A170" s="20" t="s">
        <v>158</v>
      </c>
      <c r="B170" s="19">
        <v>1770000</v>
      </c>
    </row>
    <row r="171" spans="1:2" ht="15.75" customHeight="1" x14ac:dyDescent="0.25">
      <c r="A171" s="20" t="s">
        <v>159</v>
      </c>
      <c r="B171" s="19">
        <v>5110000</v>
      </c>
    </row>
    <row r="172" spans="1:2" ht="15.75" customHeight="1" x14ac:dyDescent="0.25">
      <c r="A172" s="20" t="s">
        <v>160</v>
      </c>
      <c r="B172" s="19">
        <v>2460000</v>
      </c>
    </row>
    <row r="173" spans="1:2" ht="15.75" customHeight="1" x14ac:dyDescent="0.25">
      <c r="A173" s="20" t="s">
        <v>161</v>
      </c>
      <c r="B173" s="19">
        <v>1020000</v>
      </c>
    </row>
    <row r="174" spans="1:2" ht="15.75" customHeight="1" x14ac:dyDescent="0.25">
      <c r="A174" s="20" t="s">
        <v>162</v>
      </c>
      <c r="B174" s="19">
        <v>2300000</v>
      </c>
    </row>
    <row r="175" spans="1:2" ht="15.75" customHeight="1" x14ac:dyDescent="0.25">
      <c r="A175" s="20" t="s">
        <v>163</v>
      </c>
      <c r="B175" s="19">
        <v>1200000</v>
      </c>
    </row>
    <row r="176" spans="1:2" ht="15.75" customHeight="1" x14ac:dyDescent="0.25">
      <c r="A176" s="20" t="s">
        <v>164</v>
      </c>
      <c r="B176" s="19">
        <v>2580000</v>
      </c>
    </row>
    <row r="177" spans="1:2" ht="15.75" customHeight="1" x14ac:dyDescent="0.25">
      <c r="A177" s="20" t="s">
        <v>165</v>
      </c>
      <c r="B177" s="19">
        <v>700000</v>
      </c>
    </row>
    <row r="178" spans="1:2" ht="15.75" customHeight="1" x14ac:dyDescent="0.25">
      <c r="A178" s="20" t="s">
        <v>166</v>
      </c>
      <c r="B178" s="19">
        <v>650000</v>
      </c>
    </row>
    <row r="179" spans="1:2" ht="15.75" customHeight="1" x14ac:dyDescent="0.25">
      <c r="A179" s="20" t="s">
        <v>167</v>
      </c>
      <c r="B179" s="19">
        <v>2990000</v>
      </c>
    </row>
    <row r="180" spans="1:2" ht="15.75" customHeight="1" x14ac:dyDescent="0.25">
      <c r="A180" s="20" t="s">
        <v>168</v>
      </c>
      <c r="B180" s="19">
        <v>490000</v>
      </c>
    </row>
    <row r="181" spans="1:2" ht="15.75" customHeight="1" x14ac:dyDescent="0.25">
      <c r="A181" s="20" t="s">
        <v>169</v>
      </c>
      <c r="B181" s="19">
        <v>780000</v>
      </c>
    </row>
    <row r="182" spans="1:2" ht="15.75" customHeight="1" x14ac:dyDescent="0.25">
      <c r="A182" s="20" t="s">
        <v>170</v>
      </c>
      <c r="B182" s="19">
        <v>1815800</v>
      </c>
    </row>
    <row r="183" spans="1:2" ht="15.75" customHeight="1" x14ac:dyDescent="0.25">
      <c r="A183" s="20" t="s">
        <v>171</v>
      </c>
      <c r="B183" s="19">
        <v>2970000</v>
      </c>
    </row>
    <row r="184" spans="1:2" ht="15.75" customHeight="1" x14ac:dyDescent="0.25">
      <c r="A184" s="20" t="s">
        <v>172</v>
      </c>
      <c r="B184" s="19">
        <v>1700000</v>
      </c>
    </row>
    <row r="185" spans="1:2" ht="15.75" customHeight="1" x14ac:dyDescent="0.25">
      <c r="A185" s="20" t="s">
        <v>173</v>
      </c>
      <c r="B185" s="19">
        <v>560000</v>
      </c>
    </row>
    <row r="186" spans="1:2" ht="15.75" customHeight="1" x14ac:dyDescent="0.25">
      <c r="A186" s="20" t="s">
        <v>174</v>
      </c>
      <c r="B186" s="19">
        <v>1250000</v>
      </c>
    </row>
    <row r="187" spans="1:2" ht="15.75" customHeight="1" x14ac:dyDescent="0.25">
      <c r="A187" s="20" t="s">
        <v>175</v>
      </c>
      <c r="B187" s="19">
        <v>848300</v>
      </c>
    </row>
    <row r="188" spans="1:2" ht="15.75" customHeight="1" x14ac:dyDescent="0.25">
      <c r="A188" s="20" t="s">
        <v>176</v>
      </c>
      <c r="B188" s="19">
        <v>702500</v>
      </c>
    </row>
    <row r="189" spans="1:2" ht="15.75" customHeight="1" x14ac:dyDescent="0.25">
      <c r="A189" s="20" t="s">
        <v>20</v>
      </c>
      <c r="B189" s="19">
        <v>5352500</v>
      </c>
    </row>
    <row r="190" spans="1:2" ht="15.75" customHeight="1" x14ac:dyDescent="0.25">
      <c r="A190" s="20" t="s">
        <v>177</v>
      </c>
      <c r="B190" s="19">
        <v>1200000</v>
      </c>
    </row>
    <row r="191" spans="1:2" ht="15.75" customHeight="1" x14ac:dyDescent="0.25">
      <c r="A191" s="20" t="s">
        <v>178</v>
      </c>
      <c r="B191" s="19">
        <v>2800000</v>
      </c>
    </row>
    <row r="192" spans="1:2" ht="15.75" customHeight="1" x14ac:dyDescent="0.25">
      <c r="A192" s="20" t="s">
        <v>179</v>
      </c>
      <c r="B192" s="19">
        <v>2050000</v>
      </c>
    </row>
    <row r="193" spans="1:9" ht="15.75" customHeight="1" x14ac:dyDescent="0.25">
      <c r="A193" s="20" t="s">
        <v>180</v>
      </c>
      <c r="B193" s="19">
        <v>2600000</v>
      </c>
    </row>
    <row r="194" spans="1:9" ht="15.75" customHeight="1" x14ac:dyDescent="0.25">
      <c r="A194" s="20" t="s">
        <v>181</v>
      </c>
      <c r="B194" s="19">
        <v>700000</v>
      </c>
    </row>
    <row r="195" spans="1:9" ht="15.75" customHeight="1" x14ac:dyDescent="0.25">
      <c r="A195" s="20" t="s">
        <v>182</v>
      </c>
      <c r="B195" s="19">
        <v>913100</v>
      </c>
    </row>
    <row r="196" spans="1:9" ht="15.75" customHeight="1" x14ac:dyDescent="0.25">
      <c r="A196" s="20" t="s">
        <v>183</v>
      </c>
      <c r="B196" s="19">
        <v>2480000</v>
      </c>
    </row>
    <row r="197" spans="1:9" ht="15.75" customHeight="1" x14ac:dyDescent="0.25">
      <c r="A197" s="20" t="s">
        <v>184</v>
      </c>
      <c r="B197" s="19">
        <v>660000</v>
      </c>
    </row>
    <row r="198" spans="1:9" ht="15.75" customHeight="1" x14ac:dyDescent="0.25">
      <c r="A198" s="20" t="s">
        <v>185</v>
      </c>
      <c r="B198" s="19">
        <v>833000</v>
      </c>
    </row>
    <row r="199" spans="1:9" ht="15.75" customHeight="1" x14ac:dyDescent="0.25">
      <c r="A199" s="20" t="s">
        <v>186</v>
      </c>
      <c r="B199" s="19">
        <v>780000</v>
      </c>
      <c r="H199" s="19" t="s">
        <v>0</v>
      </c>
      <c r="I199" s="19" t="s">
        <v>8</v>
      </c>
    </row>
    <row r="200" spans="1:9" ht="15.75" customHeight="1" x14ac:dyDescent="0.25">
      <c r="A200" s="20" t="s">
        <v>187</v>
      </c>
      <c r="B200" s="19">
        <v>750000</v>
      </c>
      <c r="H200" s="20" t="s">
        <v>9</v>
      </c>
      <c r="I200" s="19">
        <v>124580000</v>
      </c>
    </row>
    <row r="201" spans="1:9" ht="15.75" customHeight="1" x14ac:dyDescent="0.25">
      <c r="A201" s="20" t="s">
        <v>188</v>
      </c>
      <c r="B201" s="19">
        <v>890000</v>
      </c>
      <c r="H201" s="20" t="s">
        <v>10</v>
      </c>
      <c r="I201" s="19">
        <v>344673950</v>
      </c>
    </row>
    <row r="202" spans="1:9" ht="15.75" customHeight="1" x14ac:dyDescent="0.25">
      <c r="A202" s="20" t="s">
        <v>189</v>
      </c>
      <c r="B202" s="19">
        <v>1100000</v>
      </c>
      <c r="H202" s="20" t="s">
        <v>11</v>
      </c>
      <c r="I202" s="19">
        <v>6890000</v>
      </c>
    </row>
    <row r="203" spans="1:9" ht="15.75" customHeight="1" x14ac:dyDescent="0.25">
      <c r="A203" s="20" t="s">
        <v>190</v>
      </c>
      <c r="B203" s="19">
        <v>1485400</v>
      </c>
      <c r="H203" s="20" t="s">
        <v>7</v>
      </c>
      <c r="I203" s="19">
        <v>476143950</v>
      </c>
    </row>
    <row r="204" spans="1:9" ht="15.75" customHeight="1" x14ac:dyDescent="0.25">
      <c r="A204" s="20" t="s">
        <v>191</v>
      </c>
      <c r="B204" s="19">
        <v>1850000</v>
      </c>
    </row>
    <row r="205" spans="1:9" ht="15.75" customHeight="1" x14ac:dyDescent="0.25">
      <c r="A205" s="20" t="s">
        <v>192</v>
      </c>
      <c r="B205" s="19">
        <v>2628000</v>
      </c>
    </row>
    <row r="206" spans="1:9" ht="15.75" customHeight="1" x14ac:dyDescent="0.25">
      <c r="A206" s="20" t="s">
        <v>193</v>
      </c>
      <c r="B206" s="19">
        <v>800000</v>
      </c>
    </row>
    <row r="207" spans="1:9" ht="15.75" customHeight="1" x14ac:dyDescent="0.25">
      <c r="A207" s="20" t="s">
        <v>194</v>
      </c>
      <c r="B207" s="19">
        <v>1100000</v>
      </c>
    </row>
    <row r="208" spans="1:9" ht="15.75" customHeight="1" x14ac:dyDescent="0.25">
      <c r="A208" s="20" t="s">
        <v>195</v>
      </c>
      <c r="B208" s="19">
        <v>1500000</v>
      </c>
    </row>
    <row r="209" spans="1:2" ht="15.75" customHeight="1" x14ac:dyDescent="0.25">
      <c r="A209" s="20" t="s">
        <v>196</v>
      </c>
      <c r="B209" s="19">
        <v>745000</v>
      </c>
    </row>
    <row r="210" spans="1:2" ht="15.75" customHeight="1" x14ac:dyDescent="0.25">
      <c r="A210" s="20" t="s">
        <v>21</v>
      </c>
      <c r="B210" s="19">
        <v>1711500</v>
      </c>
    </row>
    <row r="211" spans="1:2" ht="15.75" customHeight="1" x14ac:dyDescent="0.25">
      <c r="A211" s="20" t="s">
        <v>197</v>
      </c>
      <c r="B211" s="19">
        <v>13840000</v>
      </c>
    </row>
    <row r="212" spans="1:2" ht="15.75" customHeight="1" x14ac:dyDescent="0.25">
      <c r="A212" s="20" t="s">
        <v>198</v>
      </c>
      <c r="B212" s="19">
        <v>1600000</v>
      </c>
    </row>
    <row r="213" spans="1:2" ht="15.75" customHeight="1" x14ac:dyDescent="0.25">
      <c r="A213" s="20" t="s">
        <v>199</v>
      </c>
      <c r="B213" s="19">
        <v>2900000</v>
      </c>
    </row>
    <row r="214" spans="1:2" ht="15.75" customHeight="1" x14ac:dyDescent="0.25">
      <c r="A214" s="20" t="s">
        <v>200</v>
      </c>
      <c r="B214" s="19">
        <v>484800</v>
      </c>
    </row>
    <row r="215" spans="1:2" ht="15.75" customHeight="1" x14ac:dyDescent="0.25">
      <c r="A215" s="20" t="s">
        <v>201</v>
      </c>
      <c r="B215" s="19">
        <v>630000</v>
      </c>
    </row>
    <row r="216" spans="1:2" ht="15.75" customHeight="1" x14ac:dyDescent="0.25">
      <c r="A216" s="20" t="s">
        <v>202</v>
      </c>
      <c r="B216" s="19">
        <v>3750000</v>
      </c>
    </row>
    <row r="217" spans="1:2" ht="15.75" customHeight="1" x14ac:dyDescent="0.25">
      <c r="A217" s="20" t="s">
        <v>203</v>
      </c>
      <c r="B217" s="19">
        <v>3650000</v>
      </c>
    </row>
    <row r="218" spans="1:2" ht="15.75" customHeight="1" x14ac:dyDescent="0.25">
      <c r="A218" s="20" t="s">
        <v>204</v>
      </c>
      <c r="B218" s="19">
        <v>2600000</v>
      </c>
    </row>
    <row r="219" spans="1:2" ht="15.75" customHeight="1" x14ac:dyDescent="0.25">
      <c r="A219" s="20" t="s">
        <v>205</v>
      </c>
      <c r="B219" s="19">
        <v>622800</v>
      </c>
    </row>
    <row r="220" spans="1:2" ht="15.75" customHeight="1" x14ac:dyDescent="0.25">
      <c r="A220" s="20" t="s">
        <v>206</v>
      </c>
      <c r="B220" s="19">
        <v>6600000</v>
      </c>
    </row>
    <row r="221" spans="1:2" ht="15.75" customHeight="1" x14ac:dyDescent="0.25">
      <c r="A221" s="20" t="s">
        <v>207</v>
      </c>
      <c r="B221" s="19">
        <v>2950000</v>
      </c>
    </row>
    <row r="222" spans="1:2" ht="15.75" customHeight="1" x14ac:dyDescent="0.25">
      <c r="A222" s="20" t="s">
        <v>208</v>
      </c>
      <c r="B222" s="19">
        <v>750000</v>
      </c>
    </row>
    <row r="223" spans="1:2" ht="15.75" customHeight="1" x14ac:dyDescent="0.25">
      <c r="A223" s="20" t="s">
        <v>209</v>
      </c>
      <c r="B223" s="19">
        <v>2350000</v>
      </c>
    </row>
    <row r="224" spans="1:2" ht="15.75" customHeight="1" x14ac:dyDescent="0.25">
      <c r="A224" s="20" t="s">
        <v>210</v>
      </c>
      <c r="B224" s="19">
        <v>2650000</v>
      </c>
    </row>
    <row r="225" spans="1:2" ht="15.75" customHeight="1" x14ac:dyDescent="0.25">
      <c r="A225" s="20" t="s">
        <v>22</v>
      </c>
      <c r="B225" s="19">
        <v>11976300</v>
      </c>
    </row>
    <row r="226" spans="1:2" ht="15.75" customHeight="1" x14ac:dyDescent="0.25">
      <c r="A226" s="20" t="s">
        <v>211</v>
      </c>
      <c r="B226" s="19">
        <v>480000</v>
      </c>
    </row>
    <row r="227" spans="1:2" ht="15.75" customHeight="1" x14ac:dyDescent="0.25">
      <c r="A227" s="20" t="s">
        <v>212</v>
      </c>
      <c r="B227" s="19">
        <v>429000</v>
      </c>
    </row>
    <row r="228" spans="1:2" ht="15.75" customHeight="1" x14ac:dyDescent="0.25">
      <c r="A228" s="20" t="s">
        <v>213</v>
      </c>
      <c r="B228" s="19">
        <v>1080000</v>
      </c>
    </row>
    <row r="229" spans="1:2" ht="15.75" customHeight="1" x14ac:dyDescent="0.25">
      <c r="A229" s="20" t="s">
        <v>214</v>
      </c>
      <c r="B229" s="19">
        <v>580000</v>
      </c>
    </row>
    <row r="230" spans="1:2" ht="15.75" customHeight="1" x14ac:dyDescent="0.25">
      <c r="A230" s="20" t="s">
        <v>215</v>
      </c>
      <c r="B230" s="19">
        <v>620000</v>
      </c>
    </row>
    <row r="231" spans="1:2" ht="15.75" customHeight="1" x14ac:dyDescent="0.25">
      <c r="A231" s="20" t="s">
        <v>216</v>
      </c>
      <c r="B231" s="19">
        <v>650000</v>
      </c>
    </row>
    <row r="232" spans="1:2" ht="15.75" customHeight="1" x14ac:dyDescent="0.25">
      <c r="A232" s="20" t="s">
        <v>217</v>
      </c>
      <c r="B232" s="19">
        <v>1150000</v>
      </c>
    </row>
    <row r="233" spans="1:2" ht="15.75" customHeight="1" x14ac:dyDescent="0.25">
      <c r="A233" s="20" t="s">
        <v>218</v>
      </c>
      <c r="B233" s="19">
        <v>640000</v>
      </c>
    </row>
    <row r="234" spans="1:2" ht="15.75" customHeight="1" x14ac:dyDescent="0.25">
      <c r="A234" s="20" t="s">
        <v>219</v>
      </c>
      <c r="B234" s="19">
        <v>480000</v>
      </c>
    </row>
    <row r="235" spans="1:2" ht="15.75" customHeight="1" x14ac:dyDescent="0.25">
      <c r="A235" s="20" t="s">
        <v>220</v>
      </c>
      <c r="B235" s="19">
        <v>783400</v>
      </c>
    </row>
    <row r="236" spans="1:2" ht="15.75" customHeight="1" x14ac:dyDescent="0.25">
      <c r="A236" s="20" t="s">
        <v>221</v>
      </c>
      <c r="B236" s="19">
        <v>550000</v>
      </c>
    </row>
    <row r="237" spans="1:2" ht="15.75" customHeight="1" x14ac:dyDescent="0.25">
      <c r="A237" s="20" t="s">
        <v>222</v>
      </c>
      <c r="B237" s="19">
        <v>1150000</v>
      </c>
    </row>
    <row r="238" spans="1:2" ht="15.75" customHeight="1" x14ac:dyDescent="0.25">
      <c r="A238" s="20" t="s">
        <v>223</v>
      </c>
      <c r="B238" s="19">
        <v>2400000</v>
      </c>
    </row>
    <row r="239" spans="1:2" ht="15.75" customHeight="1" x14ac:dyDescent="0.25">
      <c r="A239" s="20" t="s">
        <v>224</v>
      </c>
      <c r="B239" s="19">
        <v>740000</v>
      </c>
    </row>
    <row r="240" spans="1:2" ht="15.75" customHeight="1" x14ac:dyDescent="0.25">
      <c r="A240" s="20" t="s">
        <v>225</v>
      </c>
      <c r="B240" s="19">
        <v>520000</v>
      </c>
    </row>
    <row r="241" spans="1:2" ht="15.75" customHeight="1" x14ac:dyDescent="0.25">
      <c r="A241" s="20" t="s">
        <v>226</v>
      </c>
      <c r="B241" s="19">
        <v>900000</v>
      </c>
    </row>
    <row r="242" spans="1:2" ht="15.75" customHeight="1" x14ac:dyDescent="0.25">
      <c r="A242" s="20" t="s">
        <v>227</v>
      </c>
      <c r="B242" s="19">
        <v>1000000</v>
      </c>
    </row>
    <row r="243" spans="1:2" ht="15.75" customHeight="1" x14ac:dyDescent="0.25">
      <c r="A243" s="20" t="s">
        <v>228</v>
      </c>
      <c r="B243" s="19">
        <v>1310000</v>
      </c>
    </row>
    <row r="244" spans="1:2" ht="15.75" customHeight="1" x14ac:dyDescent="0.25">
      <c r="A244" s="20" t="s">
        <v>229</v>
      </c>
      <c r="B244" s="19">
        <v>3700000</v>
      </c>
    </row>
    <row r="245" spans="1:2" ht="15.75" customHeight="1" x14ac:dyDescent="0.25">
      <c r="A245" s="20" t="s">
        <v>230</v>
      </c>
      <c r="B245" s="19">
        <v>770000</v>
      </c>
    </row>
    <row r="246" spans="1:2" ht="15.75" customHeight="1" x14ac:dyDescent="0.25">
      <c r="A246" s="20" t="s">
        <v>231</v>
      </c>
      <c r="B246" s="19">
        <v>750000</v>
      </c>
    </row>
    <row r="247" spans="1:2" ht="15.75" customHeight="1" x14ac:dyDescent="0.25">
      <c r="A247" s="20" t="s">
        <v>23</v>
      </c>
      <c r="B247" s="19">
        <v>12231300</v>
      </c>
    </row>
    <row r="248" spans="1:2" ht="15.75" customHeight="1" x14ac:dyDescent="0.25">
      <c r="A248" s="20" t="s">
        <v>232</v>
      </c>
      <c r="B248" s="19">
        <v>2400000</v>
      </c>
    </row>
    <row r="249" spans="1:2" ht="15.75" customHeight="1" x14ac:dyDescent="0.25">
      <c r="A249" s="20" t="s">
        <v>233</v>
      </c>
      <c r="B249" s="19">
        <v>1420000</v>
      </c>
    </row>
    <row r="250" spans="1:2" ht="15.75" customHeight="1" x14ac:dyDescent="0.25">
      <c r="A250" s="20" t="s">
        <v>234</v>
      </c>
      <c r="B250" s="19">
        <v>870000</v>
      </c>
    </row>
    <row r="251" spans="1:2" ht="15.75" customHeight="1" x14ac:dyDescent="0.25">
      <c r="A251" s="20" t="s">
        <v>235</v>
      </c>
      <c r="B251" s="19">
        <v>2070000</v>
      </c>
    </row>
    <row r="252" spans="1:2" ht="15.75" customHeight="1" x14ac:dyDescent="0.25">
      <c r="A252" s="20" t="s">
        <v>236</v>
      </c>
      <c r="B252" s="19">
        <v>682900</v>
      </c>
    </row>
    <row r="253" spans="1:2" ht="15.75" customHeight="1" x14ac:dyDescent="0.25">
      <c r="A253" s="20" t="s">
        <v>237</v>
      </c>
      <c r="B253" s="19">
        <v>2150000</v>
      </c>
    </row>
    <row r="254" spans="1:2" ht="15.75" customHeight="1" x14ac:dyDescent="0.25">
      <c r="A254" s="20" t="s">
        <v>238</v>
      </c>
      <c r="B254" s="19">
        <v>860000</v>
      </c>
    </row>
    <row r="255" spans="1:2" ht="15.75" customHeight="1" x14ac:dyDescent="0.25">
      <c r="A255" s="20" t="s">
        <v>24</v>
      </c>
      <c r="B255" s="19">
        <v>4374300</v>
      </c>
    </row>
    <row r="256" spans="1:2" ht="15.75" customHeight="1" x14ac:dyDescent="0.25">
      <c r="A256" s="20" t="s">
        <v>239</v>
      </c>
      <c r="B256" s="19">
        <v>850000</v>
      </c>
    </row>
    <row r="257" spans="1:2" ht="15.75" customHeight="1" x14ac:dyDescent="0.25">
      <c r="A257" s="20" t="s">
        <v>240</v>
      </c>
      <c r="B257" s="19">
        <v>659900</v>
      </c>
    </row>
    <row r="258" spans="1:2" ht="15.75" customHeight="1" x14ac:dyDescent="0.25">
      <c r="A258" s="20" t="s">
        <v>241</v>
      </c>
      <c r="B258" s="19">
        <v>1880000</v>
      </c>
    </row>
    <row r="259" spans="1:2" ht="15.75" customHeight="1" x14ac:dyDescent="0.25">
      <c r="A259" s="20" t="s">
        <v>242</v>
      </c>
      <c r="B259" s="19">
        <v>950000</v>
      </c>
    </row>
    <row r="260" spans="1:2" ht="15.75" customHeight="1" x14ac:dyDescent="0.25">
      <c r="A260" s="20" t="s">
        <v>243</v>
      </c>
      <c r="B260" s="19">
        <v>600000</v>
      </c>
    </row>
    <row r="261" spans="1:2" ht="15.75" customHeight="1" x14ac:dyDescent="0.25">
      <c r="A261" s="20" t="s">
        <v>244</v>
      </c>
      <c r="B261" s="19">
        <v>670000</v>
      </c>
    </row>
    <row r="262" spans="1:2" ht="15.75" customHeight="1" x14ac:dyDescent="0.25">
      <c r="A262" s="20" t="s">
        <v>245</v>
      </c>
      <c r="B262" s="19">
        <v>6695000</v>
      </c>
    </row>
    <row r="263" spans="1:2" ht="15.75" customHeight="1" x14ac:dyDescent="0.25">
      <c r="A263" s="20" t="s">
        <v>25</v>
      </c>
      <c r="B263" s="19">
        <v>18527400</v>
      </c>
    </row>
    <row r="264" spans="1:2" ht="15.75" customHeight="1" x14ac:dyDescent="0.25">
      <c r="A264" s="20" t="s">
        <v>246</v>
      </c>
      <c r="B264" s="19">
        <v>980000</v>
      </c>
    </row>
    <row r="265" spans="1:2" ht="15.75" customHeight="1" x14ac:dyDescent="0.25">
      <c r="A265" s="20" t="s">
        <v>247</v>
      </c>
      <c r="B265" s="19">
        <v>480000</v>
      </c>
    </row>
    <row r="266" spans="1:2" ht="15.75" customHeight="1" x14ac:dyDescent="0.25">
      <c r="A266" s="20" t="s">
        <v>248</v>
      </c>
      <c r="B266" s="19">
        <v>1600000</v>
      </c>
    </row>
    <row r="267" spans="1:2" ht="15.75" customHeight="1" x14ac:dyDescent="0.25">
      <c r="A267" s="20" t="s">
        <v>26</v>
      </c>
      <c r="B267" s="19">
        <v>4679550</v>
      </c>
    </row>
    <row r="268" spans="1:2" ht="15.75" customHeight="1" x14ac:dyDescent="0.25">
      <c r="A268" s="20" t="s">
        <v>249</v>
      </c>
      <c r="B268" s="19">
        <v>1150000</v>
      </c>
    </row>
    <row r="269" spans="1:2" ht="15.75" customHeight="1" x14ac:dyDescent="0.25">
      <c r="A269" s="20" t="s">
        <v>250</v>
      </c>
      <c r="B269" s="19">
        <v>5570000</v>
      </c>
    </row>
    <row r="270" spans="1:2" ht="15.75" customHeight="1" x14ac:dyDescent="0.25">
      <c r="A270" s="20" t="s">
        <v>7</v>
      </c>
      <c r="B270" s="19">
        <v>476143950</v>
      </c>
    </row>
    <row r="271" spans="1:2" ht="15.75" customHeight="1" x14ac:dyDescent="0.25"/>
    <row r="272" spans="1: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spans="1:2" ht="15.75" customHeight="1" x14ac:dyDescent="0.25"/>
    <row r="482" spans="1:2" ht="15.75" customHeight="1" x14ac:dyDescent="0.25"/>
    <row r="483" spans="1:2" ht="15.75" customHeight="1" x14ac:dyDescent="0.25"/>
    <row r="484" spans="1:2" ht="15.75" customHeight="1" x14ac:dyDescent="0.25"/>
    <row r="485" spans="1:2" ht="15.75" customHeight="1" x14ac:dyDescent="0.25"/>
    <row r="486" spans="1:2" ht="15.75" customHeight="1" x14ac:dyDescent="0.25"/>
    <row r="487" spans="1:2" ht="15.75" customHeight="1" x14ac:dyDescent="0.25"/>
    <row r="488" spans="1:2" ht="15.75" customHeight="1" x14ac:dyDescent="0.25"/>
    <row r="489" spans="1:2" ht="15.75" customHeight="1" x14ac:dyDescent="0.25"/>
    <row r="490" spans="1:2" ht="15.75" customHeight="1" x14ac:dyDescent="0.25"/>
    <row r="491" spans="1:2" ht="15.75" customHeight="1" x14ac:dyDescent="0.25"/>
    <row r="492" spans="1:2" ht="15.75" customHeight="1" x14ac:dyDescent="0.25">
      <c r="A492" s="19" t="s">
        <v>0</v>
      </c>
      <c r="B492" s="19" t="s">
        <v>1</v>
      </c>
    </row>
    <row r="493" spans="1:2" ht="15.75" customHeight="1" x14ac:dyDescent="0.25">
      <c r="A493" s="20" t="s">
        <v>9</v>
      </c>
      <c r="B493" s="19">
        <v>2996879.0419161678</v>
      </c>
    </row>
    <row r="494" spans="1:2" ht="15.75" customHeight="1" x14ac:dyDescent="0.25">
      <c r="A494" s="20" t="s">
        <v>10</v>
      </c>
      <c r="B494" s="19">
        <v>850478.2828282828</v>
      </c>
    </row>
    <row r="495" spans="1:2" ht="15.75" customHeight="1" x14ac:dyDescent="0.25">
      <c r="A495" s="20" t="s">
        <v>11</v>
      </c>
      <c r="B495" s="19">
        <v>504071.57360406092</v>
      </c>
    </row>
    <row r="496" spans="1:2" ht="15.75" customHeight="1" x14ac:dyDescent="0.25">
      <c r="A496" s="20" t="s">
        <v>7</v>
      </c>
      <c r="B496" s="19">
        <v>1081718.764940239</v>
      </c>
    </row>
    <row r="497" spans="1:3" ht="15.75" customHeight="1" x14ac:dyDescent="0.25"/>
    <row r="498" spans="1:3" ht="15.75" customHeight="1" x14ac:dyDescent="0.25"/>
    <row r="499" spans="1:3" ht="15.75" customHeight="1" x14ac:dyDescent="0.25"/>
    <row r="500" spans="1:3" ht="15.75" customHeight="1" x14ac:dyDescent="0.25"/>
    <row r="501" spans="1:3" ht="15.75" customHeight="1" x14ac:dyDescent="0.25"/>
    <row r="502" spans="1:3" ht="15.75" customHeight="1" x14ac:dyDescent="0.25"/>
    <row r="503" spans="1:3" ht="15.75" customHeight="1" x14ac:dyDescent="0.25">
      <c r="A503" s="19" t="s">
        <v>0</v>
      </c>
      <c r="B503" s="19" t="s">
        <v>8</v>
      </c>
      <c r="C503" s="19" t="s">
        <v>251</v>
      </c>
    </row>
    <row r="504" spans="1:3" ht="15.75" customHeight="1" x14ac:dyDescent="0.25">
      <c r="A504" s="20" t="s">
        <v>28</v>
      </c>
      <c r="B504" s="19">
        <v>1940000</v>
      </c>
      <c r="C504" s="19">
        <v>1630</v>
      </c>
    </row>
    <row r="505" spans="1:3" ht="15.75" customHeight="1" x14ac:dyDescent="0.25">
      <c r="A505" s="20" t="s">
        <v>29</v>
      </c>
      <c r="B505" s="19">
        <v>900000</v>
      </c>
      <c r="C505" s="19">
        <v>1480</v>
      </c>
    </row>
    <row r="506" spans="1:3" ht="15.75" customHeight="1" x14ac:dyDescent="0.25">
      <c r="A506" s="20" t="s">
        <v>30</v>
      </c>
      <c r="B506" s="19">
        <v>4990000</v>
      </c>
      <c r="C506" s="19">
        <v>2610</v>
      </c>
    </row>
    <row r="507" spans="1:3" ht="15.75" customHeight="1" x14ac:dyDescent="0.25">
      <c r="A507" s="20" t="s">
        <v>31</v>
      </c>
      <c r="B507" s="19">
        <v>6600000</v>
      </c>
      <c r="C507" s="19">
        <v>4000</v>
      </c>
    </row>
    <row r="508" spans="1:3" ht="15.75" customHeight="1" x14ac:dyDescent="0.25">
      <c r="A508" s="20" t="s">
        <v>15</v>
      </c>
      <c r="B508" s="19">
        <v>9910000</v>
      </c>
      <c r="C508" s="19">
        <v>12945</v>
      </c>
    </row>
    <row r="509" spans="1:3" ht="15.75" customHeight="1" x14ac:dyDescent="0.25">
      <c r="A509" s="20" t="s">
        <v>32</v>
      </c>
      <c r="B509" s="19">
        <v>3000000</v>
      </c>
      <c r="C509" s="19">
        <v>1846</v>
      </c>
    </row>
    <row r="510" spans="1:3" ht="15.75" customHeight="1" x14ac:dyDescent="0.25">
      <c r="A510" s="20" t="s">
        <v>33</v>
      </c>
      <c r="B510" s="19">
        <v>435000</v>
      </c>
      <c r="C510" s="19">
        <v>1240</v>
      </c>
    </row>
    <row r="511" spans="1:3" ht="15.75" customHeight="1" x14ac:dyDescent="0.25">
      <c r="A511" s="20" t="s">
        <v>34</v>
      </c>
      <c r="B511" s="19">
        <v>980000</v>
      </c>
      <c r="C511" s="19">
        <v>1620</v>
      </c>
    </row>
    <row r="512" spans="1:3" ht="15.75" customHeight="1" x14ac:dyDescent="0.25">
      <c r="A512" s="20" t="s">
        <v>35</v>
      </c>
      <c r="B512" s="19">
        <v>5201000</v>
      </c>
      <c r="C512" s="19">
        <v>8280</v>
      </c>
    </row>
    <row r="513" spans="1:3" ht="15.75" customHeight="1" x14ac:dyDescent="0.25">
      <c r="A513" s="20" t="s">
        <v>36</v>
      </c>
      <c r="B513" s="19">
        <v>2850000</v>
      </c>
      <c r="C513" s="19">
        <v>3190</v>
      </c>
    </row>
    <row r="514" spans="1:3" ht="15.75" customHeight="1" x14ac:dyDescent="0.25">
      <c r="A514" s="20" t="s">
        <v>37</v>
      </c>
      <c r="B514" s="19">
        <v>1650000</v>
      </c>
      <c r="C514" s="19">
        <v>1875</v>
      </c>
    </row>
    <row r="515" spans="1:3" ht="15.75" customHeight="1" x14ac:dyDescent="0.25">
      <c r="A515" s="20" t="s">
        <v>38</v>
      </c>
      <c r="B515" s="19">
        <v>1300000</v>
      </c>
      <c r="C515" s="19">
        <v>1935</v>
      </c>
    </row>
    <row r="516" spans="1:3" ht="15.75" customHeight="1" x14ac:dyDescent="0.25">
      <c r="A516" s="20" t="s">
        <v>39</v>
      </c>
      <c r="B516" s="19">
        <v>880000</v>
      </c>
      <c r="C516" s="19">
        <v>1760</v>
      </c>
    </row>
    <row r="517" spans="1:3" ht="15.75" customHeight="1" x14ac:dyDescent="0.25">
      <c r="A517" s="20" t="s">
        <v>40</v>
      </c>
      <c r="B517" s="19">
        <v>1390000</v>
      </c>
      <c r="C517" s="19">
        <v>1500</v>
      </c>
    </row>
    <row r="518" spans="1:3" ht="15.75" customHeight="1" x14ac:dyDescent="0.25">
      <c r="A518" s="20" t="s">
        <v>41</v>
      </c>
      <c r="B518" s="19">
        <v>1000000</v>
      </c>
      <c r="C518" s="19">
        <v>1750</v>
      </c>
    </row>
    <row r="519" spans="1:3" ht="15.75" customHeight="1" x14ac:dyDescent="0.25">
      <c r="A519" s="20" t="s">
        <v>42</v>
      </c>
      <c r="B519" s="19">
        <v>2350000</v>
      </c>
      <c r="C519" s="19">
        <v>3800</v>
      </c>
    </row>
    <row r="520" spans="1:3" ht="15.75" customHeight="1" x14ac:dyDescent="0.25">
      <c r="A520" s="20" t="s">
        <v>43</v>
      </c>
      <c r="B520" s="19">
        <v>840000</v>
      </c>
      <c r="C520" s="19">
        <v>1644</v>
      </c>
    </row>
    <row r="521" spans="1:3" ht="15.75" customHeight="1" x14ac:dyDescent="0.25">
      <c r="A521" s="20" t="s">
        <v>44</v>
      </c>
      <c r="B521" s="19">
        <v>1200000</v>
      </c>
      <c r="C521" s="19">
        <v>2300</v>
      </c>
    </row>
    <row r="522" spans="1:3" ht="15.75" customHeight="1" x14ac:dyDescent="0.25">
      <c r="A522" s="20" t="s">
        <v>45</v>
      </c>
      <c r="B522" s="19">
        <v>985000</v>
      </c>
      <c r="C522" s="19">
        <v>1092</v>
      </c>
    </row>
    <row r="523" spans="1:3" ht="15.75" customHeight="1" x14ac:dyDescent="0.25">
      <c r="A523" s="20" t="s">
        <v>46</v>
      </c>
      <c r="B523" s="19">
        <v>434000</v>
      </c>
      <c r="C523" s="19">
        <v>1358</v>
      </c>
    </row>
    <row r="524" spans="1:3" ht="15.75" customHeight="1" x14ac:dyDescent="0.25">
      <c r="A524" s="20" t="s">
        <v>47</v>
      </c>
      <c r="B524" s="19">
        <v>790000</v>
      </c>
      <c r="C524" s="19">
        <v>1590</v>
      </c>
    </row>
    <row r="525" spans="1:3" ht="15.75" customHeight="1" x14ac:dyDescent="0.25">
      <c r="A525" s="20" t="s">
        <v>48</v>
      </c>
      <c r="B525" s="19">
        <v>2056400</v>
      </c>
      <c r="C525" s="19">
        <v>3970</v>
      </c>
    </row>
    <row r="526" spans="1:3" ht="15.75" customHeight="1" x14ac:dyDescent="0.25">
      <c r="A526" s="20" t="s">
        <v>49</v>
      </c>
      <c r="B526" s="19">
        <v>587000</v>
      </c>
      <c r="C526" s="19">
        <v>1305</v>
      </c>
    </row>
    <row r="527" spans="1:3" ht="15.75" customHeight="1" x14ac:dyDescent="0.25">
      <c r="A527" s="20" t="s">
        <v>50</v>
      </c>
      <c r="B527" s="19">
        <v>1250000</v>
      </c>
      <c r="C527" s="19">
        <v>1762</v>
      </c>
    </row>
    <row r="528" spans="1:3" ht="15.75" customHeight="1" x14ac:dyDescent="0.25">
      <c r="A528" s="20" t="s">
        <v>51</v>
      </c>
      <c r="B528" s="19">
        <v>580000</v>
      </c>
      <c r="C528" s="19">
        <v>600</v>
      </c>
    </row>
    <row r="529" spans="1:3" ht="15.75" customHeight="1" x14ac:dyDescent="0.25">
      <c r="A529" s="20" t="s">
        <v>52</v>
      </c>
      <c r="B529" s="19">
        <v>4826300</v>
      </c>
      <c r="C529" s="19">
        <v>8755</v>
      </c>
    </row>
    <row r="530" spans="1:3" ht="15.75" customHeight="1" x14ac:dyDescent="0.25">
      <c r="A530" s="20" t="s">
        <v>53</v>
      </c>
      <c r="B530" s="19">
        <v>800000</v>
      </c>
      <c r="C530" s="19">
        <v>2400</v>
      </c>
    </row>
    <row r="531" spans="1:3" ht="15.75" customHeight="1" x14ac:dyDescent="0.25">
      <c r="A531" s="20" t="s">
        <v>54</v>
      </c>
      <c r="B531" s="19">
        <v>467400</v>
      </c>
      <c r="C531" s="19">
        <v>1612</v>
      </c>
    </row>
    <row r="532" spans="1:3" ht="15.75" customHeight="1" x14ac:dyDescent="0.25">
      <c r="A532" s="20" t="s">
        <v>55</v>
      </c>
      <c r="B532" s="19">
        <v>950000</v>
      </c>
      <c r="C532" s="19">
        <v>1645</v>
      </c>
    </row>
    <row r="533" spans="1:3" ht="15.75" customHeight="1" x14ac:dyDescent="0.25">
      <c r="A533" s="20" t="s">
        <v>56</v>
      </c>
      <c r="B533" s="19">
        <v>1450000</v>
      </c>
      <c r="C533" s="19">
        <v>1865</v>
      </c>
    </row>
    <row r="534" spans="1:3" ht="15.75" customHeight="1" x14ac:dyDescent="0.25">
      <c r="A534" s="20" t="s">
        <v>57</v>
      </c>
      <c r="B534" s="19">
        <v>1870300</v>
      </c>
      <c r="C534" s="19">
        <v>3724</v>
      </c>
    </row>
    <row r="535" spans="1:3" ht="15.75" customHeight="1" x14ac:dyDescent="0.25">
      <c r="A535" s="20" t="s">
        <v>58</v>
      </c>
      <c r="B535" s="19">
        <v>1787600</v>
      </c>
      <c r="C535" s="19">
        <v>4699</v>
      </c>
    </row>
    <row r="536" spans="1:3" ht="15.75" customHeight="1" x14ac:dyDescent="0.25">
      <c r="A536" s="20" t="s">
        <v>59</v>
      </c>
      <c r="B536" s="19">
        <v>1030000</v>
      </c>
      <c r="C536" s="19">
        <v>1767</v>
      </c>
    </row>
    <row r="537" spans="1:3" ht="15.75" customHeight="1" x14ac:dyDescent="0.25">
      <c r="A537" s="20" t="s">
        <v>60</v>
      </c>
      <c r="B537" s="19">
        <v>850000</v>
      </c>
      <c r="C537" s="19">
        <v>2000</v>
      </c>
    </row>
    <row r="538" spans="1:3" ht="15.75" customHeight="1" x14ac:dyDescent="0.25">
      <c r="A538" s="20" t="s">
        <v>61</v>
      </c>
      <c r="B538" s="19">
        <v>950000</v>
      </c>
      <c r="C538" s="19">
        <v>1200</v>
      </c>
    </row>
    <row r="539" spans="1:3" ht="15.75" customHeight="1" x14ac:dyDescent="0.25">
      <c r="A539" s="20" t="s">
        <v>62</v>
      </c>
      <c r="B539" s="19">
        <v>990000</v>
      </c>
      <c r="C539" s="19">
        <v>1670</v>
      </c>
    </row>
    <row r="540" spans="1:3" ht="15.75" customHeight="1" x14ac:dyDescent="0.25">
      <c r="A540" s="20" t="s">
        <v>63</v>
      </c>
      <c r="B540" s="19">
        <v>1100000</v>
      </c>
      <c r="C540" s="19">
        <v>1935</v>
      </c>
    </row>
    <row r="541" spans="1:3" ht="15.75" customHeight="1" x14ac:dyDescent="0.25">
      <c r="A541" s="20" t="s">
        <v>64</v>
      </c>
      <c r="B541" s="19">
        <v>1220000</v>
      </c>
      <c r="C541" s="19">
        <v>1755</v>
      </c>
    </row>
    <row r="542" spans="1:3" ht="15.75" customHeight="1" x14ac:dyDescent="0.25">
      <c r="A542" s="20" t="s">
        <v>65</v>
      </c>
      <c r="B542" s="19">
        <v>2830000</v>
      </c>
      <c r="C542" s="19">
        <v>7630</v>
      </c>
    </row>
    <row r="543" spans="1:3" ht="15.75" customHeight="1" x14ac:dyDescent="0.25">
      <c r="A543" s="20" t="s">
        <v>66</v>
      </c>
      <c r="B543" s="19">
        <v>953600</v>
      </c>
      <c r="C543" s="19">
        <v>2460</v>
      </c>
    </row>
    <row r="544" spans="1:3" ht="15.75" customHeight="1" x14ac:dyDescent="0.25">
      <c r="A544" s="20" t="s">
        <v>67</v>
      </c>
      <c r="B544" s="19">
        <v>504000</v>
      </c>
      <c r="C544" s="19">
        <v>1280</v>
      </c>
    </row>
    <row r="545" spans="1:3" ht="15.75" customHeight="1" x14ac:dyDescent="0.25">
      <c r="A545" s="20" t="s">
        <v>68</v>
      </c>
      <c r="B545" s="19">
        <v>3230000</v>
      </c>
      <c r="C545" s="19">
        <v>4809</v>
      </c>
    </row>
    <row r="546" spans="1:3" ht="15.75" customHeight="1" x14ac:dyDescent="0.25">
      <c r="A546" s="20" t="s">
        <v>69</v>
      </c>
      <c r="B546" s="19">
        <v>1030000</v>
      </c>
      <c r="C546" s="19">
        <v>1991</v>
      </c>
    </row>
    <row r="547" spans="1:3" ht="15.75" customHeight="1" x14ac:dyDescent="0.25">
      <c r="A547" s="20" t="s">
        <v>70</v>
      </c>
      <c r="B547" s="19">
        <v>1400000</v>
      </c>
      <c r="C547" s="19">
        <v>1350</v>
      </c>
    </row>
    <row r="548" spans="1:3" ht="15.75" customHeight="1" x14ac:dyDescent="0.25">
      <c r="A548" s="20" t="s">
        <v>71</v>
      </c>
      <c r="B548" s="19">
        <v>1650000</v>
      </c>
      <c r="C548" s="19">
        <v>2738</v>
      </c>
    </row>
    <row r="549" spans="1:3" ht="15.75" customHeight="1" x14ac:dyDescent="0.25">
      <c r="A549" s="20" t="s">
        <v>72</v>
      </c>
      <c r="B549" s="19">
        <v>900000</v>
      </c>
      <c r="C549" s="19">
        <v>1600</v>
      </c>
    </row>
    <row r="550" spans="1:3" ht="15.75" customHeight="1" x14ac:dyDescent="0.25">
      <c r="A550" s="20" t="s">
        <v>73</v>
      </c>
      <c r="B550" s="19">
        <v>1200000</v>
      </c>
      <c r="C550" s="19">
        <v>1475</v>
      </c>
    </row>
    <row r="551" spans="1:3" ht="15.75" customHeight="1" x14ac:dyDescent="0.25">
      <c r="A551" s="20" t="s">
        <v>74</v>
      </c>
      <c r="B551" s="19">
        <v>1086300</v>
      </c>
      <c r="C551" s="19">
        <v>3703</v>
      </c>
    </row>
    <row r="552" spans="1:3" ht="15.75" customHeight="1" x14ac:dyDescent="0.25">
      <c r="A552" s="20" t="s">
        <v>75</v>
      </c>
      <c r="B552" s="19">
        <v>850500</v>
      </c>
      <c r="C552" s="19">
        <v>1260</v>
      </c>
    </row>
    <row r="553" spans="1:3" ht="15.75" customHeight="1" x14ac:dyDescent="0.25">
      <c r="A553" s="20" t="s">
        <v>76</v>
      </c>
      <c r="B553" s="19">
        <v>483300</v>
      </c>
      <c r="C553" s="19">
        <v>1340</v>
      </c>
    </row>
    <row r="554" spans="1:3" ht="15.75" customHeight="1" x14ac:dyDescent="0.25">
      <c r="A554" s="20" t="s">
        <v>77</v>
      </c>
      <c r="B554" s="19">
        <v>1000000</v>
      </c>
      <c r="C554" s="19">
        <v>1500</v>
      </c>
    </row>
    <row r="555" spans="1:3" ht="15.75" customHeight="1" x14ac:dyDescent="0.25">
      <c r="A555" s="20" t="s">
        <v>78</v>
      </c>
      <c r="B555" s="19">
        <v>561200</v>
      </c>
      <c r="C555" s="19">
        <v>1290</v>
      </c>
    </row>
    <row r="556" spans="1:3" ht="15.75" customHeight="1" x14ac:dyDescent="0.25">
      <c r="A556" s="20" t="s">
        <v>79</v>
      </c>
      <c r="B556" s="19">
        <v>1000000</v>
      </c>
      <c r="C556" s="19">
        <v>1500</v>
      </c>
    </row>
    <row r="557" spans="1:3" ht="15.75" customHeight="1" x14ac:dyDescent="0.25">
      <c r="A557" s="20" t="s">
        <v>80</v>
      </c>
      <c r="B557" s="19">
        <v>2050000</v>
      </c>
      <c r="C557" s="19">
        <v>2511</v>
      </c>
    </row>
    <row r="558" spans="1:3" ht="15.75" customHeight="1" x14ac:dyDescent="0.25">
      <c r="A558" s="20" t="s">
        <v>81</v>
      </c>
      <c r="B558" s="19">
        <v>1700000</v>
      </c>
      <c r="C558" s="19">
        <v>3045</v>
      </c>
    </row>
    <row r="559" spans="1:3" ht="15.75" customHeight="1" x14ac:dyDescent="0.25">
      <c r="A559" s="20" t="s">
        <v>82</v>
      </c>
      <c r="B559" s="19">
        <v>1500000</v>
      </c>
      <c r="C559" s="19">
        <v>1975</v>
      </c>
    </row>
    <row r="560" spans="1:3" ht="15.75" customHeight="1" x14ac:dyDescent="0.25">
      <c r="A560" s="20" t="s">
        <v>83</v>
      </c>
      <c r="B560" s="19">
        <v>650000</v>
      </c>
      <c r="C560" s="19">
        <v>1550</v>
      </c>
    </row>
    <row r="561" spans="1:3" ht="15.75" customHeight="1" x14ac:dyDescent="0.25">
      <c r="A561" s="20" t="s">
        <v>84</v>
      </c>
      <c r="B561" s="19">
        <v>2250000</v>
      </c>
      <c r="C561" s="19">
        <v>1855</v>
      </c>
    </row>
    <row r="562" spans="1:3" ht="15.75" customHeight="1" x14ac:dyDescent="0.25">
      <c r="A562" s="20" t="s">
        <v>85</v>
      </c>
      <c r="B562" s="19">
        <v>750000</v>
      </c>
      <c r="C562" s="19">
        <v>1520</v>
      </c>
    </row>
    <row r="563" spans="1:3" ht="15.75" customHeight="1" x14ac:dyDescent="0.25">
      <c r="A563" s="20" t="s">
        <v>86</v>
      </c>
      <c r="B563" s="19">
        <v>1433400</v>
      </c>
      <c r="C563" s="19">
        <v>2841</v>
      </c>
    </row>
    <row r="564" spans="1:3" ht="15.75" customHeight="1" x14ac:dyDescent="0.25">
      <c r="A564" s="20" t="s">
        <v>87</v>
      </c>
      <c r="B564" s="19">
        <v>440000</v>
      </c>
      <c r="C564" s="19">
        <v>1250</v>
      </c>
    </row>
    <row r="565" spans="1:3" ht="15.75" customHeight="1" x14ac:dyDescent="0.25">
      <c r="A565" s="20" t="s">
        <v>88</v>
      </c>
      <c r="B565" s="19">
        <v>644400</v>
      </c>
      <c r="C565" s="19">
        <v>1611</v>
      </c>
    </row>
    <row r="566" spans="1:3" ht="15.75" customHeight="1" x14ac:dyDescent="0.25">
      <c r="A566" s="20" t="s">
        <v>89</v>
      </c>
      <c r="B566" s="19">
        <v>750000</v>
      </c>
      <c r="C566" s="19">
        <v>1600</v>
      </c>
    </row>
    <row r="567" spans="1:3" ht="15.75" customHeight="1" x14ac:dyDescent="0.25">
      <c r="A567" s="20" t="s">
        <v>90</v>
      </c>
      <c r="B567" s="19">
        <v>700000</v>
      </c>
      <c r="C567" s="19">
        <v>1125</v>
      </c>
    </row>
    <row r="568" spans="1:3" ht="15.75" customHeight="1" x14ac:dyDescent="0.25">
      <c r="A568" s="20" t="s">
        <v>91</v>
      </c>
      <c r="B568" s="19">
        <v>900000</v>
      </c>
      <c r="C568" s="19">
        <v>1540</v>
      </c>
    </row>
    <row r="569" spans="1:3" ht="15.75" customHeight="1" x14ac:dyDescent="0.25">
      <c r="A569" s="20" t="s">
        <v>92</v>
      </c>
      <c r="B569" s="19">
        <v>255300</v>
      </c>
      <c r="C569" s="19">
        <v>1033</v>
      </c>
    </row>
    <row r="570" spans="1:3" ht="15.75" customHeight="1" x14ac:dyDescent="0.25">
      <c r="A570" s="20" t="s">
        <v>93</v>
      </c>
      <c r="B570" s="19">
        <v>1800000</v>
      </c>
      <c r="C570" s="19">
        <v>1578</v>
      </c>
    </row>
    <row r="571" spans="1:3" ht="15.75" customHeight="1" x14ac:dyDescent="0.25">
      <c r="A571" s="20" t="s">
        <v>94</v>
      </c>
      <c r="B571" s="19">
        <v>1000000</v>
      </c>
      <c r="C571" s="19">
        <v>500</v>
      </c>
    </row>
    <row r="572" spans="1:3" ht="15.75" customHeight="1" x14ac:dyDescent="0.25">
      <c r="A572" s="20" t="s">
        <v>95</v>
      </c>
      <c r="B572" s="19">
        <v>650000</v>
      </c>
      <c r="C572" s="19">
        <v>1500</v>
      </c>
    </row>
    <row r="573" spans="1:3" ht="15.75" customHeight="1" x14ac:dyDescent="0.25">
      <c r="A573" s="20" t="s">
        <v>16</v>
      </c>
      <c r="B573" s="19">
        <v>8955300</v>
      </c>
      <c r="C573" s="19">
        <v>17594</v>
      </c>
    </row>
    <row r="574" spans="1:3" ht="15.75" customHeight="1" x14ac:dyDescent="0.25">
      <c r="A574" s="20" t="s">
        <v>96</v>
      </c>
      <c r="B574" s="19">
        <v>756600</v>
      </c>
      <c r="C574" s="19">
        <v>2620</v>
      </c>
    </row>
    <row r="575" spans="1:3" ht="15.75" customHeight="1" x14ac:dyDescent="0.25">
      <c r="A575" s="20" t="s">
        <v>97</v>
      </c>
      <c r="B575" s="19">
        <v>2410900</v>
      </c>
      <c r="C575" s="19">
        <v>4455</v>
      </c>
    </row>
    <row r="576" spans="1:3" ht="15.75" customHeight="1" x14ac:dyDescent="0.25">
      <c r="A576" s="20" t="s">
        <v>98</v>
      </c>
      <c r="B576" s="19">
        <v>2640000</v>
      </c>
      <c r="C576" s="19">
        <v>3829</v>
      </c>
    </row>
    <row r="577" spans="1:3" ht="15.75" customHeight="1" x14ac:dyDescent="0.25">
      <c r="A577" s="20" t="s">
        <v>99</v>
      </c>
      <c r="B577" s="19">
        <v>3920000</v>
      </c>
      <c r="C577" s="19">
        <v>2680</v>
      </c>
    </row>
    <row r="578" spans="1:3" ht="15.75" customHeight="1" x14ac:dyDescent="0.25">
      <c r="A578" s="20" t="s">
        <v>100</v>
      </c>
      <c r="B578" s="19">
        <v>608000</v>
      </c>
      <c r="C578" s="19">
        <v>1325</v>
      </c>
    </row>
    <row r="579" spans="1:3" ht="15.75" customHeight="1" x14ac:dyDescent="0.25">
      <c r="A579" s="20" t="s">
        <v>101</v>
      </c>
      <c r="B579" s="19">
        <v>860000</v>
      </c>
      <c r="C579" s="19">
        <v>1820</v>
      </c>
    </row>
    <row r="580" spans="1:3" ht="15.75" customHeight="1" x14ac:dyDescent="0.25">
      <c r="A580" s="20" t="s">
        <v>102</v>
      </c>
      <c r="B580" s="19">
        <v>2750000</v>
      </c>
      <c r="C580" s="19">
        <v>2024</v>
      </c>
    </row>
    <row r="581" spans="1:3" ht="15.75" customHeight="1" x14ac:dyDescent="0.25">
      <c r="A581" s="20" t="s">
        <v>103</v>
      </c>
      <c r="B581" s="19">
        <v>620000</v>
      </c>
      <c r="C581" s="19">
        <v>1500</v>
      </c>
    </row>
    <row r="582" spans="1:3" ht="15.75" customHeight="1" x14ac:dyDescent="0.25">
      <c r="A582" s="20" t="s">
        <v>104</v>
      </c>
      <c r="B582" s="19">
        <v>825000</v>
      </c>
      <c r="C582" s="19">
        <v>1618</v>
      </c>
    </row>
    <row r="583" spans="1:3" ht="15.75" customHeight="1" x14ac:dyDescent="0.25">
      <c r="A583" s="20" t="s">
        <v>105</v>
      </c>
      <c r="B583" s="19">
        <v>1250000</v>
      </c>
      <c r="C583" s="19">
        <v>1575</v>
      </c>
    </row>
    <row r="584" spans="1:3" ht="15.75" customHeight="1" x14ac:dyDescent="0.25">
      <c r="A584" s="20" t="s">
        <v>106</v>
      </c>
      <c r="B584" s="19">
        <v>820000</v>
      </c>
      <c r="C584" s="19">
        <v>1470</v>
      </c>
    </row>
    <row r="585" spans="1:3" ht="15.75" customHeight="1" x14ac:dyDescent="0.25">
      <c r="A585" s="20" t="s">
        <v>107</v>
      </c>
      <c r="B585" s="19">
        <v>660000</v>
      </c>
      <c r="C585" s="19">
        <v>1356</v>
      </c>
    </row>
    <row r="586" spans="1:3" ht="15.75" customHeight="1" x14ac:dyDescent="0.25">
      <c r="A586" s="20" t="s">
        <v>17</v>
      </c>
      <c r="B586" s="19">
        <v>4370000</v>
      </c>
      <c r="C586" s="19">
        <v>8533</v>
      </c>
    </row>
    <row r="587" spans="1:3" ht="15.75" customHeight="1" x14ac:dyDescent="0.25">
      <c r="A587" s="20" t="s">
        <v>108</v>
      </c>
      <c r="B587" s="19">
        <v>4780000</v>
      </c>
      <c r="C587" s="19">
        <v>7371</v>
      </c>
    </row>
    <row r="588" spans="1:3" ht="15.75" customHeight="1" x14ac:dyDescent="0.25">
      <c r="A588" s="20" t="s">
        <v>18</v>
      </c>
      <c r="B588" s="19">
        <v>12386800</v>
      </c>
      <c r="C588" s="19">
        <v>15945</v>
      </c>
    </row>
    <row r="589" spans="1:3" ht="15.75" customHeight="1" x14ac:dyDescent="0.25">
      <c r="A589" s="20" t="s">
        <v>109</v>
      </c>
      <c r="B589" s="19">
        <v>3300000</v>
      </c>
      <c r="C589" s="19">
        <v>3500</v>
      </c>
    </row>
    <row r="590" spans="1:3" ht="15.75" customHeight="1" x14ac:dyDescent="0.25">
      <c r="A590" s="20" t="s">
        <v>110</v>
      </c>
      <c r="B590" s="19">
        <v>4930000</v>
      </c>
      <c r="C590" s="19">
        <v>7509</v>
      </c>
    </row>
    <row r="591" spans="1:3" ht="15.75" customHeight="1" x14ac:dyDescent="0.25">
      <c r="A591" s="20" t="s">
        <v>111</v>
      </c>
      <c r="B591" s="19">
        <v>8065800</v>
      </c>
      <c r="C591" s="19">
        <v>14267</v>
      </c>
    </row>
    <row r="592" spans="1:3" ht="15.75" customHeight="1" x14ac:dyDescent="0.25">
      <c r="A592" s="20" t="s">
        <v>112</v>
      </c>
      <c r="B592" s="19">
        <v>700000</v>
      </c>
      <c r="C592" s="19">
        <v>1200</v>
      </c>
    </row>
    <row r="593" spans="1:3" ht="15.75" customHeight="1" x14ac:dyDescent="0.25">
      <c r="A593" s="20" t="s">
        <v>113</v>
      </c>
      <c r="B593" s="19">
        <v>2737500</v>
      </c>
      <c r="C593" s="19">
        <v>4899</v>
      </c>
    </row>
    <row r="594" spans="1:3" ht="15.75" customHeight="1" x14ac:dyDescent="0.25">
      <c r="A594" s="20" t="s">
        <v>114</v>
      </c>
      <c r="B594" s="19">
        <v>790000</v>
      </c>
      <c r="C594" s="19">
        <v>1629</v>
      </c>
    </row>
    <row r="595" spans="1:3" ht="15.75" customHeight="1" x14ac:dyDescent="0.25">
      <c r="A595" s="20" t="s">
        <v>115</v>
      </c>
      <c r="B595" s="19">
        <v>1214800</v>
      </c>
      <c r="C595" s="19">
        <v>3013</v>
      </c>
    </row>
    <row r="596" spans="1:3" ht="15.75" customHeight="1" x14ac:dyDescent="0.25">
      <c r="A596" s="20" t="s">
        <v>116</v>
      </c>
      <c r="B596" s="19">
        <v>1210000</v>
      </c>
      <c r="C596" s="19">
        <v>3165</v>
      </c>
    </row>
    <row r="597" spans="1:3" ht="15.75" customHeight="1" x14ac:dyDescent="0.25">
      <c r="A597" s="20" t="s">
        <v>117</v>
      </c>
      <c r="B597" s="19">
        <v>1650000</v>
      </c>
      <c r="C597" s="19">
        <v>3291</v>
      </c>
    </row>
    <row r="598" spans="1:3" ht="15.75" customHeight="1" x14ac:dyDescent="0.25">
      <c r="A598" s="20" t="s">
        <v>118</v>
      </c>
      <c r="B598" s="19">
        <v>700000</v>
      </c>
      <c r="C598" s="19">
        <v>1375</v>
      </c>
    </row>
    <row r="599" spans="1:3" ht="15.75" customHeight="1" x14ac:dyDescent="0.25">
      <c r="A599" s="20" t="s">
        <v>119</v>
      </c>
      <c r="B599" s="19">
        <v>8440000</v>
      </c>
      <c r="C599" s="19">
        <v>8824</v>
      </c>
    </row>
    <row r="600" spans="1:3" ht="15.75" customHeight="1" x14ac:dyDescent="0.25">
      <c r="A600" s="20" t="s">
        <v>120</v>
      </c>
      <c r="B600" s="19">
        <v>2130000</v>
      </c>
      <c r="C600" s="19">
        <v>3830</v>
      </c>
    </row>
    <row r="601" spans="1:3" ht="15.75" customHeight="1" x14ac:dyDescent="0.25">
      <c r="A601" s="20" t="s">
        <v>121</v>
      </c>
      <c r="B601" s="19">
        <v>570000</v>
      </c>
      <c r="C601" s="19">
        <v>1325</v>
      </c>
    </row>
    <row r="602" spans="1:3" ht="15.75" customHeight="1" x14ac:dyDescent="0.25">
      <c r="A602" s="20" t="s">
        <v>122</v>
      </c>
      <c r="B602" s="19">
        <v>1960000</v>
      </c>
      <c r="C602" s="19">
        <v>4305</v>
      </c>
    </row>
    <row r="603" spans="1:3" ht="15.75" customHeight="1" x14ac:dyDescent="0.25">
      <c r="A603" s="20" t="s">
        <v>123</v>
      </c>
      <c r="B603" s="19">
        <v>1780000</v>
      </c>
      <c r="C603" s="19">
        <v>3473</v>
      </c>
    </row>
    <row r="604" spans="1:3" ht="15.75" customHeight="1" x14ac:dyDescent="0.25">
      <c r="A604" s="20" t="s">
        <v>124</v>
      </c>
      <c r="B604" s="19">
        <v>352300</v>
      </c>
      <c r="C604" s="19">
        <v>1220</v>
      </c>
    </row>
    <row r="605" spans="1:3" ht="15.75" customHeight="1" x14ac:dyDescent="0.25">
      <c r="A605" s="20" t="s">
        <v>125</v>
      </c>
      <c r="B605" s="19">
        <v>2350000</v>
      </c>
      <c r="C605" s="19">
        <v>3235</v>
      </c>
    </row>
    <row r="606" spans="1:3" ht="15.75" customHeight="1" x14ac:dyDescent="0.25">
      <c r="A606" s="20" t="s">
        <v>126</v>
      </c>
      <c r="B606" s="19">
        <v>750000</v>
      </c>
      <c r="C606" s="19">
        <v>1602</v>
      </c>
    </row>
    <row r="607" spans="1:3" ht="15.75" customHeight="1" x14ac:dyDescent="0.25">
      <c r="A607" s="20" t="s">
        <v>127</v>
      </c>
      <c r="B607" s="19">
        <v>2140200</v>
      </c>
      <c r="C607" s="19">
        <v>3948</v>
      </c>
    </row>
    <row r="608" spans="1:3" ht="15.75" customHeight="1" x14ac:dyDescent="0.25">
      <c r="A608" s="20" t="s">
        <v>128</v>
      </c>
      <c r="B608" s="19">
        <v>700000</v>
      </c>
      <c r="C608" s="19">
        <v>1470</v>
      </c>
    </row>
    <row r="609" spans="1:3" ht="15.75" customHeight="1" x14ac:dyDescent="0.25">
      <c r="A609" s="20" t="s">
        <v>129</v>
      </c>
      <c r="B609" s="19">
        <v>3185100</v>
      </c>
      <c r="C609" s="19">
        <v>4696</v>
      </c>
    </row>
    <row r="610" spans="1:3" ht="15.75" customHeight="1" x14ac:dyDescent="0.25">
      <c r="A610" s="20" t="s">
        <v>130</v>
      </c>
      <c r="B610" s="19">
        <v>2370000</v>
      </c>
      <c r="C610" s="19">
        <v>3650</v>
      </c>
    </row>
    <row r="611" spans="1:3" ht="15.75" customHeight="1" x14ac:dyDescent="0.25">
      <c r="A611" s="20" t="s">
        <v>131</v>
      </c>
      <c r="B611" s="19">
        <v>600000</v>
      </c>
      <c r="C611" s="19">
        <v>1260</v>
      </c>
    </row>
    <row r="612" spans="1:3" ht="15.75" customHeight="1" x14ac:dyDescent="0.25">
      <c r="A612" s="20" t="s">
        <v>132</v>
      </c>
      <c r="B612" s="19">
        <v>3500000</v>
      </c>
      <c r="C612" s="19">
        <v>3095</v>
      </c>
    </row>
    <row r="613" spans="1:3" ht="15.75" customHeight="1" x14ac:dyDescent="0.25">
      <c r="A613" s="20" t="s">
        <v>133</v>
      </c>
      <c r="B613" s="19">
        <v>550000</v>
      </c>
      <c r="C613" s="19">
        <v>1252</v>
      </c>
    </row>
    <row r="614" spans="1:3" ht="15.75" customHeight="1" x14ac:dyDescent="0.25">
      <c r="A614" s="20" t="s">
        <v>134</v>
      </c>
      <c r="B614" s="19">
        <v>1500000</v>
      </c>
      <c r="C614" s="19">
        <v>1850</v>
      </c>
    </row>
    <row r="615" spans="1:3" ht="15.75" customHeight="1" x14ac:dyDescent="0.25">
      <c r="A615" s="20" t="s">
        <v>135</v>
      </c>
      <c r="B615" s="19">
        <v>500000</v>
      </c>
      <c r="C615" s="19">
        <v>1600</v>
      </c>
    </row>
    <row r="616" spans="1:3" ht="15.75" customHeight="1" x14ac:dyDescent="0.25">
      <c r="A616" s="20" t="s">
        <v>136</v>
      </c>
      <c r="B616" s="19">
        <v>2104500</v>
      </c>
      <c r="C616" s="19">
        <v>4602</v>
      </c>
    </row>
    <row r="617" spans="1:3" ht="15.75" customHeight="1" x14ac:dyDescent="0.25">
      <c r="A617" s="20" t="s">
        <v>137</v>
      </c>
      <c r="B617" s="19">
        <v>1393000</v>
      </c>
      <c r="C617" s="19">
        <v>2795</v>
      </c>
    </row>
    <row r="618" spans="1:3" ht="15.75" customHeight="1" x14ac:dyDescent="0.25">
      <c r="A618" s="20" t="s">
        <v>138</v>
      </c>
      <c r="B618" s="19">
        <v>550000</v>
      </c>
      <c r="C618" s="19">
        <v>1150</v>
      </c>
    </row>
    <row r="619" spans="1:3" ht="15.75" customHeight="1" x14ac:dyDescent="0.25">
      <c r="A619" s="20" t="s">
        <v>139</v>
      </c>
      <c r="B619" s="19">
        <v>2750000</v>
      </c>
      <c r="C619" s="19">
        <v>4679</v>
      </c>
    </row>
    <row r="620" spans="1:3" ht="15.75" customHeight="1" x14ac:dyDescent="0.25">
      <c r="A620" s="20" t="s">
        <v>140</v>
      </c>
      <c r="B620" s="19">
        <v>750000</v>
      </c>
      <c r="C620" s="19">
        <v>1375</v>
      </c>
    </row>
    <row r="621" spans="1:3" ht="15.75" customHeight="1" x14ac:dyDescent="0.25">
      <c r="A621" s="20" t="s">
        <v>141</v>
      </c>
      <c r="B621" s="19">
        <v>1135000</v>
      </c>
      <c r="C621" s="19">
        <v>2164</v>
      </c>
    </row>
    <row r="622" spans="1:3" ht="15.75" customHeight="1" x14ac:dyDescent="0.25">
      <c r="A622" s="20" t="s">
        <v>142</v>
      </c>
      <c r="B622" s="19">
        <v>650000</v>
      </c>
      <c r="C622" s="19">
        <v>1595</v>
      </c>
    </row>
    <row r="623" spans="1:3" ht="15.75" customHeight="1" x14ac:dyDescent="0.25">
      <c r="A623" s="20" t="s">
        <v>143</v>
      </c>
      <c r="B623" s="19">
        <v>750000</v>
      </c>
      <c r="C623" s="19">
        <v>1419</v>
      </c>
    </row>
    <row r="624" spans="1:3" ht="15.75" customHeight="1" x14ac:dyDescent="0.25">
      <c r="A624" s="20" t="s">
        <v>19</v>
      </c>
      <c r="B624" s="19">
        <v>6129200</v>
      </c>
      <c r="C624" s="19">
        <v>12773</v>
      </c>
    </row>
    <row r="625" spans="1:3" ht="15.75" customHeight="1" x14ac:dyDescent="0.25">
      <c r="A625" s="20" t="s">
        <v>144</v>
      </c>
      <c r="B625" s="19">
        <v>900000</v>
      </c>
      <c r="C625" s="19">
        <v>1800</v>
      </c>
    </row>
    <row r="626" spans="1:3" ht="15.75" customHeight="1" x14ac:dyDescent="0.25">
      <c r="A626" s="20" t="s">
        <v>145</v>
      </c>
      <c r="B626" s="19">
        <v>4443200</v>
      </c>
      <c r="C626" s="19">
        <v>7339</v>
      </c>
    </row>
    <row r="627" spans="1:3" ht="15.75" customHeight="1" x14ac:dyDescent="0.25">
      <c r="A627" s="20" t="s">
        <v>146</v>
      </c>
      <c r="B627" s="19">
        <v>2050000</v>
      </c>
      <c r="C627" s="19">
        <v>3495</v>
      </c>
    </row>
    <row r="628" spans="1:3" ht="15.75" customHeight="1" x14ac:dyDescent="0.25">
      <c r="A628" s="20" t="s">
        <v>147</v>
      </c>
      <c r="B628" s="19">
        <v>1457500</v>
      </c>
      <c r="C628" s="19">
        <v>2650</v>
      </c>
    </row>
    <row r="629" spans="1:3" ht="15.75" customHeight="1" x14ac:dyDescent="0.25">
      <c r="A629" s="20" t="s">
        <v>148</v>
      </c>
      <c r="B629" s="19">
        <v>640000</v>
      </c>
      <c r="C629" s="19">
        <v>1540</v>
      </c>
    </row>
    <row r="630" spans="1:3" ht="15.75" customHeight="1" x14ac:dyDescent="0.25">
      <c r="A630" s="20" t="s">
        <v>149</v>
      </c>
      <c r="B630" s="19">
        <v>660000</v>
      </c>
      <c r="C630" s="19">
        <v>1415</v>
      </c>
    </row>
    <row r="631" spans="1:3" ht="15.75" customHeight="1" x14ac:dyDescent="0.25">
      <c r="A631" s="20" t="s">
        <v>150</v>
      </c>
      <c r="B631" s="19">
        <v>1500000</v>
      </c>
      <c r="C631" s="19">
        <v>1904</v>
      </c>
    </row>
    <row r="632" spans="1:3" ht="15.75" customHeight="1" x14ac:dyDescent="0.25">
      <c r="A632" s="20" t="s">
        <v>151</v>
      </c>
      <c r="B632" s="19">
        <v>1050000</v>
      </c>
      <c r="C632" s="19">
        <v>1660</v>
      </c>
    </row>
    <row r="633" spans="1:3" ht="15.75" customHeight="1" x14ac:dyDescent="0.25">
      <c r="A633" s="20" t="s">
        <v>152</v>
      </c>
      <c r="B633" s="19">
        <v>1840000</v>
      </c>
      <c r="C633" s="19">
        <v>1976</v>
      </c>
    </row>
    <row r="634" spans="1:3" ht="15.75" customHeight="1" x14ac:dyDescent="0.25">
      <c r="A634" s="20" t="s">
        <v>153</v>
      </c>
      <c r="B634" s="19">
        <v>570000</v>
      </c>
      <c r="C634" s="19">
        <v>1190</v>
      </c>
    </row>
    <row r="635" spans="1:3" ht="15.75" customHeight="1" x14ac:dyDescent="0.25">
      <c r="A635" s="20" t="s">
        <v>154</v>
      </c>
      <c r="B635" s="19">
        <v>650000</v>
      </c>
      <c r="C635" s="19">
        <v>1320</v>
      </c>
    </row>
    <row r="636" spans="1:3" ht="15.75" customHeight="1" x14ac:dyDescent="0.25">
      <c r="A636" s="20" t="s">
        <v>155</v>
      </c>
      <c r="B636" s="19">
        <v>1619500</v>
      </c>
      <c r="C636" s="19">
        <v>3573</v>
      </c>
    </row>
    <row r="637" spans="1:3" ht="15.75" customHeight="1" x14ac:dyDescent="0.25">
      <c r="A637" s="20" t="s">
        <v>156</v>
      </c>
      <c r="B637" s="19">
        <v>2960000</v>
      </c>
      <c r="C637" s="19">
        <v>4428</v>
      </c>
    </row>
    <row r="638" spans="1:3" ht="15.75" customHeight="1" x14ac:dyDescent="0.25">
      <c r="A638" s="20" t="s">
        <v>157</v>
      </c>
      <c r="B638" s="19">
        <v>6550000</v>
      </c>
      <c r="C638" s="19">
        <v>7097</v>
      </c>
    </row>
    <row r="639" spans="1:3" ht="15.75" customHeight="1" x14ac:dyDescent="0.25">
      <c r="A639" s="20" t="s">
        <v>158</v>
      </c>
      <c r="B639" s="19">
        <v>1770000</v>
      </c>
      <c r="C639" s="19">
        <v>2453</v>
      </c>
    </row>
    <row r="640" spans="1:3" ht="15.75" customHeight="1" x14ac:dyDescent="0.25">
      <c r="A640" s="20" t="s">
        <v>159</v>
      </c>
      <c r="B640" s="19">
        <v>5110000</v>
      </c>
      <c r="C640" s="19">
        <v>9232</v>
      </c>
    </row>
    <row r="641" spans="1:3" ht="15.75" customHeight="1" x14ac:dyDescent="0.25">
      <c r="A641" s="20" t="s">
        <v>160</v>
      </c>
      <c r="B641" s="19">
        <v>2460000</v>
      </c>
      <c r="C641" s="19">
        <v>4605</v>
      </c>
    </row>
    <row r="642" spans="1:3" ht="15.75" customHeight="1" x14ac:dyDescent="0.25">
      <c r="A642" s="20" t="s">
        <v>161</v>
      </c>
      <c r="B642" s="19">
        <v>1020000</v>
      </c>
      <c r="C642" s="19">
        <v>2928</v>
      </c>
    </row>
    <row r="643" spans="1:3" ht="15.75" customHeight="1" x14ac:dyDescent="0.25">
      <c r="A643" s="20" t="s">
        <v>162</v>
      </c>
      <c r="B643" s="19">
        <v>2300000</v>
      </c>
      <c r="C643" s="19">
        <v>3121</v>
      </c>
    </row>
    <row r="644" spans="1:3" ht="15.75" customHeight="1" x14ac:dyDescent="0.25">
      <c r="A644" s="20" t="s">
        <v>163</v>
      </c>
      <c r="B644" s="19">
        <v>1200000</v>
      </c>
      <c r="C644" s="19">
        <v>1800</v>
      </c>
    </row>
    <row r="645" spans="1:3" ht="15.75" customHeight="1" x14ac:dyDescent="0.25">
      <c r="A645" s="20" t="s">
        <v>164</v>
      </c>
      <c r="B645" s="19">
        <v>2580000</v>
      </c>
      <c r="C645" s="19">
        <v>3280</v>
      </c>
    </row>
    <row r="646" spans="1:3" ht="15.75" customHeight="1" x14ac:dyDescent="0.25">
      <c r="A646" s="20" t="s">
        <v>165</v>
      </c>
      <c r="B646" s="19">
        <v>700000</v>
      </c>
      <c r="C646" s="19">
        <v>912</v>
      </c>
    </row>
    <row r="647" spans="1:3" ht="15.75" customHeight="1" x14ac:dyDescent="0.25">
      <c r="A647" s="20" t="s">
        <v>166</v>
      </c>
      <c r="B647" s="19">
        <v>650000</v>
      </c>
      <c r="C647" s="19">
        <v>1600</v>
      </c>
    </row>
    <row r="648" spans="1:3" ht="15.75" customHeight="1" x14ac:dyDescent="0.25">
      <c r="A648" s="20" t="s">
        <v>167</v>
      </c>
      <c r="B648" s="19">
        <v>2990000</v>
      </c>
      <c r="C648" s="19">
        <v>4715</v>
      </c>
    </row>
    <row r="649" spans="1:3" ht="15.75" customHeight="1" x14ac:dyDescent="0.25">
      <c r="A649" s="20" t="s">
        <v>168</v>
      </c>
      <c r="B649" s="19">
        <v>490000</v>
      </c>
      <c r="C649" s="19">
        <v>1282</v>
      </c>
    </row>
    <row r="650" spans="1:3" ht="15.75" customHeight="1" x14ac:dyDescent="0.25">
      <c r="A650" s="20" t="s">
        <v>169</v>
      </c>
      <c r="B650" s="19">
        <v>780000</v>
      </c>
      <c r="C650" s="19">
        <v>1720</v>
      </c>
    </row>
    <row r="651" spans="1:3" ht="15.75" customHeight="1" x14ac:dyDescent="0.25">
      <c r="A651" s="20" t="s">
        <v>170</v>
      </c>
      <c r="B651" s="19">
        <v>1815800</v>
      </c>
      <c r="C651" s="19">
        <v>3330</v>
      </c>
    </row>
    <row r="652" spans="1:3" ht="15.75" customHeight="1" x14ac:dyDescent="0.25">
      <c r="A652" s="20" t="s">
        <v>171</v>
      </c>
      <c r="B652" s="19">
        <v>2970000</v>
      </c>
      <c r="C652" s="19">
        <v>2006</v>
      </c>
    </row>
    <row r="653" spans="1:3" ht="15.75" customHeight="1" x14ac:dyDescent="0.25">
      <c r="A653" s="20" t="s">
        <v>172</v>
      </c>
      <c r="B653" s="19">
        <v>1700000</v>
      </c>
      <c r="C653" s="19">
        <v>2400</v>
      </c>
    </row>
    <row r="654" spans="1:3" ht="15.75" customHeight="1" x14ac:dyDescent="0.25">
      <c r="A654" s="20" t="s">
        <v>173</v>
      </c>
      <c r="B654" s="19">
        <v>560000</v>
      </c>
      <c r="C654" s="19">
        <v>1250</v>
      </c>
    </row>
    <row r="655" spans="1:3" ht="15.75" customHeight="1" x14ac:dyDescent="0.25">
      <c r="A655" s="20" t="s">
        <v>174</v>
      </c>
      <c r="B655" s="19">
        <v>1250000</v>
      </c>
      <c r="C655" s="19">
        <v>1824</v>
      </c>
    </row>
    <row r="656" spans="1:3" ht="15.75" customHeight="1" x14ac:dyDescent="0.25">
      <c r="A656" s="20" t="s">
        <v>175</v>
      </c>
      <c r="B656" s="19">
        <v>848300</v>
      </c>
      <c r="C656" s="19">
        <v>1780</v>
      </c>
    </row>
    <row r="657" spans="1:3" ht="15.75" customHeight="1" x14ac:dyDescent="0.25">
      <c r="A657" s="20" t="s">
        <v>176</v>
      </c>
      <c r="B657" s="19">
        <v>702500</v>
      </c>
      <c r="C657" s="19">
        <v>1508</v>
      </c>
    </row>
    <row r="658" spans="1:3" ht="15.75" customHeight="1" x14ac:dyDescent="0.25">
      <c r="A658" s="20" t="s">
        <v>20</v>
      </c>
      <c r="B658" s="19">
        <v>5352500</v>
      </c>
      <c r="C658" s="19">
        <v>9244</v>
      </c>
    </row>
    <row r="659" spans="1:3" ht="15.75" customHeight="1" x14ac:dyDescent="0.25">
      <c r="A659" s="20" t="s">
        <v>177</v>
      </c>
      <c r="B659" s="19">
        <v>1200000</v>
      </c>
      <c r="C659" s="19">
        <v>1544</v>
      </c>
    </row>
    <row r="660" spans="1:3" ht="15.75" customHeight="1" x14ac:dyDescent="0.25">
      <c r="A660" s="20" t="s">
        <v>178</v>
      </c>
      <c r="B660" s="19">
        <v>2800000</v>
      </c>
      <c r="C660" s="19">
        <v>4050</v>
      </c>
    </row>
    <row r="661" spans="1:3" ht="15.75" customHeight="1" x14ac:dyDescent="0.25">
      <c r="A661" s="20" t="s">
        <v>179</v>
      </c>
      <c r="B661" s="19">
        <v>2050000</v>
      </c>
      <c r="C661" s="19">
        <v>2983</v>
      </c>
    </row>
    <row r="662" spans="1:3" ht="15.75" customHeight="1" x14ac:dyDescent="0.25">
      <c r="A662" s="20" t="s">
        <v>180</v>
      </c>
      <c r="B662" s="19">
        <v>2600000</v>
      </c>
      <c r="C662" s="19">
        <v>2405</v>
      </c>
    </row>
    <row r="663" spans="1:3" ht="15.75" customHeight="1" x14ac:dyDescent="0.25">
      <c r="A663" s="20" t="s">
        <v>181</v>
      </c>
      <c r="B663" s="19">
        <v>700000</v>
      </c>
      <c r="C663" s="19">
        <v>1450</v>
      </c>
    </row>
    <row r="664" spans="1:3" ht="15.75" customHeight="1" x14ac:dyDescent="0.25">
      <c r="A664" s="20" t="s">
        <v>182</v>
      </c>
      <c r="B664" s="19">
        <v>913100</v>
      </c>
      <c r="C664" s="19">
        <v>1710</v>
      </c>
    </row>
    <row r="665" spans="1:3" ht="15.75" customHeight="1" x14ac:dyDescent="0.25">
      <c r="A665" s="20" t="s">
        <v>183</v>
      </c>
      <c r="B665" s="19">
        <v>2480000</v>
      </c>
      <c r="C665" s="19">
        <v>2980</v>
      </c>
    </row>
    <row r="666" spans="1:3" ht="15.75" customHeight="1" x14ac:dyDescent="0.25">
      <c r="A666" s="20" t="s">
        <v>184</v>
      </c>
      <c r="B666" s="19">
        <v>660000</v>
      </c>
      <c r="C666" s="19">
        <v>1641</v>
      </c>
    </row>
    <row r="667" spans="1:3" ht="15.75" customHeight="1" x14ac:dyDescent="0.25">
      <c r="A667" s="20" t="s">
        <v>185</v>
      </c>
      <c r="B667" s="19">
        <v>833000</v>
      </c>
      <c r="C667" s="19">
        <v>1566</v>
      </c>
    </row>
    <row r="668" spans="1:3" ht="15.75" customHeight="1" x14ac:dyDescent="0.25">
      <c r="A668" s="20" t="s">
        <v>186</v>
      </c>
      <c r="B668" s="19">
        <v>780000</v>
      </c>
      <c r="C668" s="19">
        <v>1415</v>
      </c>
    </row>
    <row r="669" spans="1:3" ht="15.75" customHeight="1" x14ac:dyDescent="0.25">
      <c r="A669" s="20" t="s">
        <v>187</v>
      </c>
      <c r="B669" s="19">
        <v>750000</v>
      </c>
      <c r="C669" s="19">
        <v>1565</v>
      </c>
    </row>
    <row r="670" spans="1:3" ht="15.75" customHeight="1" x14ac:dyDescent="0.25">
      <c r="A670" s="20" t="s">
        <v>188</v>
      </c>
      <c r="B670" s="19">
        <v>890000</v>
      </c>
      <c r="C670" s="19">
        <v>1798</v>
      </c>
    </row>
    <row r="671" spans="1:3" ht="15.75" customHeight="1" x14ac:dyDescent="0.25">
      <c r="A671" s="20" t="s">
        <v>189</v>
      </c>
      <c r="B671" s="19">
        <v>1100000</v>
      </c>
      <c r="C671" s="19">
        <v>1875</v>
      </c>
    </row>
    <row r="672" spans="1:3" ht="15.75" customHeight="1" x14ac:dyDescent="0.25">
      <c r="A672" s="20" t="s">
        <v>190</v>
      </c>
      <c r="B672" s="19">
        <v>1485400</v>
      </c>
      <c r="C672" s="19">
        <v>2775</v>
      </c>
    </row>
    <row r="673" spans="1:3" ht="15.75" customHeight="1" x14ac:dyDescent="0.25">
      <c r="A673" s="20" t="s">
        <v>191</v>
      </c>
      <c r="B673" s="19">
        <v>1850000</v>
      </c>
      <c r="C673" s="19">
        <v>2420</v>
      </c>
    </row>
    <row r="674" spans="1:3" ht="15.75" customHeight="1" x14ac:dyDescent="0.25">
      <c r="A674" s="20" t="s">
        <v>192</v>
      </c>
      <c r="B674" s="19">
        <v>2628000</v>
      </c>
      <c r="C674" s="19">
        <v>4698</v>
      </c>
    </row>
    <row r="675" spans="1:3" ht="15.75" customHeight="1" x14ac:dyDescent="0.25">
      <c r="A675" s="20" t="s">
        <v>193</v>
      </c>
      <c r="B675" s="19">
        <v>800000</v>
      </c>
      <c r="C675" s="19">
        <v>1550</v>
      </c>
    </row>
    <row r="676" spans="1:3" ht="15.75" customHeight="1" x14ac:dyDescent="0.25">
      <c r="A676" s="20" t="s">
        <v>194</v>
      </c>
      <c r="B676" s="19">
        <v>1100000</v>
      </c>
      <c r="C676" s="19">
        <v>1870</v>
      </c>
    </row>
    <row r="677" spans="1:3" ht="15.75" customHeight="1" x14ac:dyDescent="0.25">
      <c r="A677" s="20" t="s">
        <v>195</v>
      </c>
      <c r="B677" s="19">
        <v>1500000</v>
      </c>
      <c r="C677" s="19">
        <v>1800</v>
      </c>
    </row>
    <row r="678" spans="1:3" ht="15.75" customHeight="1" x14ac:dyDescent="0.25">
      <c r="A678" s="20" t="s">
        <v>196</v>
      </c>
      <c r="B678" s="19">
        <v>745000</v>
      </c>
      <c r="C678" s="19">
        <v>1530</v>
      </c>
    </row>
    <row r="679" spans="1:3" ht="15.75" customHeight="1" x14ac:dyDescent="0.25">
      <c r="A679" s="20" t="s">
        <v>21</v>
      </c>
      <c r="B679" s="19">
        <v>1711500</v>
      </c>
      <c r="C679" s="19">
        <v>4511</v>
      </c>
    </row>
    <row r="680" spans="1:3" ht="15.75" customHeight="1" x14ac:dyDescent="0.25">
      <c r="A680" s="20" t="s">
        <v>197</v>
      </c>
      <c r="B680" s="19">
        <v>13840000</v>
      </c>
      <c r="C680" s="19">
        <v>9766</v>
      </c>
    </row>
    <row r="681" spans="1:3" ht="15.75" customHeight="1" x14ac:dyDescent="0.25">
      <c r="A681" s="20" t="s">
        <v>198</v>
      </c>
      <c r="B681" s="19">
        <v>1600000</v>
      </c>
      <c r="C681" s="19">
        <v>1867</v>
      </c>
    </row>
    <row r="682" spans="1:3" ht="15.75" customHeight="1" x14ac:dyDescent="0.25">
      <c r="A682" s="20" t="s">
        <v>199</v>
      </c>
      <c r="B682" s="19">
        <v>2900000</v>
      </c>
      <c r="C682" s="19">
        <v>2770</v>
      </c>
    </row>
    <row r="683" spans="1:3" ht="15.75" customHeight="1" x14ac:dyDescent="0.25">
      <c r="A683" s="20" t="s">
        <v>200</v>
      </c>
      <c r="B683" s="19">
        <v>484800</v>
      </c>
      <c r="C683" s="19">
        <v>1385</v>
      </c>
    </row>
    <row r="684" spans="1:3" ht="15.75" customHeight="1" x14ac:dyDescent="0.25">
      <c r="A684" s="20" t="s">
        <v>201</v>
      </c>
      <c r="B684" s="19">
        <v>630000</v>
      </c>
      <c r="C684" s="19">
        <v>1314</v>
      </c>
    </row>
    <row r="685" spans="1:3" ht="15.75" customHeight="1" x14ac:dyDescent="0.25">
      <c r="A685" s="20" t="s">
        <v>202</v>
      </c>
      <c r="B685" s="19">
        <v>3750000</v>
      </c>
      <c r="C685" s="19">
        <v>3502</v>
      </c>
    </row>
    <row r="686" spans="1:3" ht="15.75" customHeight="1" x14ac:dyDescent="0.25">
      <c r="A686" s="20" t="s">
        <v>203</v>
      </c>
      <c r="B686" s="19">
        <v>3650000</v>
      </c>
      <c r="C686" s="19">
        <v>2000</v>
      </c>
    </row>
    <row r="687" spans="1:3" ht="15.75" customHeight="1" x14ac:dyDescent="0.25">
      <c r="A687" s="20" t="s">
        <v>204</v>
      </c>
      <c r="B687" s="19">
        <v>2600000</v>
      </c>
      <c r="C687" s="19">
        <v>3630</v>
      </c>
    </row>
    <row r="688" spans="1:3" ht="15.75" customHeight="1" x14ac:dyDescent="0.25">
      <c r="A688" s="20" t="s">
        <v>205</v>
      </c>
      <c r="B688" s="19">
        <v>622800</v>
      </c>
      <c r="C688" s="19">
        <v>1384</v>
      </c>
    </row>
    <row r="689" spans="1:3" ht="15.75" customHeight="1" x14ac:dyDescent="0.25">
      <c r="A689" s="20" t="s">
        <v>206</v>
      </c>
      <c r="B689" s="19">
        <v>6600000</v>
      </c>
      <c r="C689" s="19">
        <v>3761</v>
      </c>
    </row>
    <row r="690" spans="1:3" ht="15.75" customHeight="1" x14ac:dyDescent="0.25">
      <c r="A690" s="20" t="s">
        <v>207</v>
      </c>
      <c r="B690" s="19">
        <v>2950000</v>
      </c>
      <c r="C690" s="19">
        <v>2700</v>
      </c>
    </row>
    <row r="691" spans="1:3" ht="15.75" customHeight="1" x14ac:dyDescent="0.25">
      <c r="A691" s="20" t="s">
        <v>208</v>
      </c>
      <c r="B691" s="19">
        <v>750000</v>
      </c>
      <c r="C691" s="19">
        <v>1592</v>
      </c>
    </row>
    <row r="692" spans="1:3" ht="15.75" customHeight="1" x14ac:dyDescent="0.25">
      <c r="A692" s="20" t="s">
        <v>209</v>
      </c>
      <c r="B692" s="19">
        <v>2350000</v>
      </c>
      <c r="C692" s="19">
        <v>2795</v>
      </c>
    </row>
    <row r="693" spans="1:3" ht="15.75" customHeight="1" x14ac:dyDescent="0.25">
      <c r="A693" s="20" t="s">
        <v>210</v>
      </c>
      <c r="B693" s="19">
        <v>2650000</v>
      </c>
      <c r="C693" s="19">
        <v>4750</v>
      </c>
    </row>
    <row r="694" spans="1:3" ht="15.75" customHeight="1" x14ac:dyDescent="0.25">
      <c r="A694" s="20" t="s">
        <v>22</v>
      </c>
      <c r="B694" s="19">
        <v>11976300</v>
      </c>
      <c r="C694" s="19">
        <v>22429</v>
      </c>
    </row>
    <row r="695" spans="1:3" ht="15.75" customHeight="1" x14ac:dyDescent="0.25">
      <c r="A695" s="20" t="s">
        <v>211</v>
      </c>
      <c r="B695" s="19">
        <v>480000</v>
      </c>
      <c r="C695" s="19">
        <v>1330</v>
      </c>
    </row>
    <row r="696" spans="1:3" ht="15.75" customHeight="1" x14ac:dyDescent="0.25">
      <c r="A696" s="20" t="s">
        <v>212</v>
      </c>
      <c r="B696" s="19">
        <v>429000</v>
      </c>
      <c r="C696" s="19">
        <v>1150</v>
      </c>
    </row>
    <row r="697" spans="1:3" ht="15.75" customHeight="1" x14ac:dyDescent="0.25">
      <c r="A697" s="20" t="s">
        <v>213</v>
      </c>
      <c r="B697" s="19">
        <v>1080000</v>
      </c>
      <c r="C697" s="19">
        <v>2072</v>
      </c>
    </row>
    <row r="698" spans="1:3" ht="15.75" customHeight="1" x14ac:dyDescent="0.25">
      <c r="A698" s="20" t="s">
        <v>214</v>
      </c>
      <c r="B698" s="19">
        <v>580000</v>
      </c>
      <c r="C698" s="19">
        <v>1300</v>
      </c>
    </row>
    <row r="699" spans="1:3" ht="15.75" customHeight="1" x14ac:dyDescent="0.25">
      <c r="A699" s="20" t="s">
        <v>215</v>
      </c>
      <c r="B699" s="19">
        <v>620000</v>
      </c>
      <c r="C699" s="19">
        <v>1570</v>
      </c>
    </row>
    <row r="700" spans="1:3" ht="15.75" customHeight="1" x14ac:dyDescent="0.25">
      <c r="A700" s="20" t="s">
        <v>216</v>
      </c>
      <c r="B700" s="19">
        <v>650000</v>
      </c>
      <c r="C700" s="19">
        <v>1440</v>
      </c>
    </row>
    <row r="701" spans="1:3" ht="15.75" customHeight="1" x14ac:dyDescent="0.25">
      <c r="A701" s="20" t="s">
        <v>217</v>
      </c>
      <c r="B701" s="19">
        <v>1150000</v>
      </c>
      <c r="C701" s="19">
        <v>1500</v>
      </c>
    </row>
    <row r="702" spans="1:3" ht="15.75" customHeight="1" x14ac:dyDescent="0.25">
      <c r="A702" s="20" t="s">
        <v>218</v>
      </c>
      <c r="B702" s="19">
        <v>640000</v>
      </c>
      <c r="C702" s="19">
        <v>1600</v>
      </c>
    </row>
    <row r="703" spans="1:3" ht="15.75" customHeight="1" x14ac:dyDescent="0.25">
      <c r="A703" s="20" t="s">
        <v>219</v>
      </c>
      <c r="B703" s="19">
        <v>480000</v>
      </c>
      <c r="C703" s="19">
        <v>1025</v>
      </c>
    </row>
    <row r="704" spans="1:3" ht="15.75" customHeight="1" x14ac:dyDescent="0.25">
      <c r="A704" s="20" t="s">
        <v>220</v>
      </c>
      <c r="B704" s="19">
        <v>783400</v>
      </c>
      <c r="C704" s="19">
        <v>1180</v>
      </c>
    </row>
    <row r="705" spans="1:3" ht="15.75" customHeight="1" x14ac:dyDescent="0.25">
      <c r="A705" s="20" t="s">
        <v>221</v>
      </c>
      <c r="B705" s="19">
        <v>550000</v>
      </c>
      <c r="C705" s="19">
        <v>1450</v>
      </c>
    </row>
    <row r="706" spans="1:3" ht="15.75" customHeight="1" x14ac:dyDescent="0.25">
      <c r="A706" s="20" t="s">
        <v>222</v>
      </c>
      <c r="B706" s="19">
        <v>1150000</v>
      </c>
      <c r="C706" s="19">
        <v>1560</v>
      </c>
    </row>
    <row r="707" spans="1:3" ht="15.75" customHeight="1" x14ac:dyDescent="0.25">
      <c r="A707" s="20" t="s">
        <v>223</v>
      </c>
      <c r="B707" s="19">
        <v>2400000</v>
      </c>
      <c r="C707" s="19">
        <v>3503</v>
      </c>
    </row>
    <row r="708" spans="1:3" ht="15.75" customHeight="1" x14ac:dyDescent="0.25">
      <c r="A708" s="20" t="s">
        <v>224</v>
      </c>
      <c r="B708" s="19">
        <v>740000</v>
      </c>
      <c r="C708" s="19">
        <v>11</v>
      </c>
    </row>
    <row r="709" spans="1:3" ht="15.75" customHeight="1" x14ac:dyDescent="0.25">
      <c r="A709" s="20" t="s">
        <v>225</v>
      </c>
      <c r="B709" s="19">
        <v>520000</v>
      </c>
      <c r="C709" s="19">
        <v>1563</v>
      </c>
    </row>
    <row r="710" spans="1:3" ht="15.75" customHeight="1" x14ac:dyDescent="0.25">
      <c r="A710" s="20" t="s">
        <v>226</v>
      </c>
      <c r="B710" s="19">
        <v>900000</v>
      </c>
      <c r="C710" s="19">
        <v>1200</v>
      </c>
    </row>
    <row r="711" spans="1:3" ht="15.75" customHeight="1" x14ac:dyDescent="0.25">
      <c r="A711" s="20" t="s">
        <v>227</v>
      </c>
      <c r="B711" s="19">
        <v>1000000</v>
      </c>
      <c r="C711" s="19">
        <v>1580</v>
      </c>
    </row>
    <row r="712" spans="1:3" ht="15.75" customHeight="1" x14ac:dyDescent="0.25">
      <c r="A712" s="20" t="s">
        <v>228</v>
      </c>
      <c r="B712" s="19">
        <v>1310000</v>
      </c>
      <c r="C712" s="19">
        <v>1868</v>
      </c>
    </row>
    <row r="713" spans="1:3" ht="15.75" customHeight="1" x14ac:dyDescent="0.25">
      <c r="A713" s="20" t="s">
        <v>229</v>
      </c>
      <c r="B713" s="19">
        <v>3700000</v>
      </c>
      <c r="C713" s="19">
        <v>6825</v>
      </c>
    </row>
    <row r="714" spans="1:3" ht="15.75" customHeight="1" x14ac:dyDescent="0.25">
      <c r="A714" s="20" t="s">
        <v>230</v>
      </c>
      <c r="B714" s="19">
        <v>770000</v>
      </c>
      <c r="C714" s="19">
        <v>1350</v>
      </c>
    </row>
    <row r="715" spans="1:3" ht="15.75" customHeight="1" x14ac:dyDescent="0.25">
      <c r="A715" s="20" t="s">
        <v>231</v>
      </c>
      <c r="B715" s="19">
        <v>750000</v>
      </c>
      <c r="C715" s="19">
        <v>1425</v>
      </c>
    </row>
    <row r="716" spans="1:3" ht="15.75" customHeight="1" x14ac:dyDescent="0.25">
      <c r="A716" s="20" t="s">
        <v>23</v>
      </c>
      <c r="B716" s="19">
        <v>12231300</v>
      </c>
      <c r="C716" s="19">
        <v>18619</v>
      </c>
    </row>
    <row r="717" spans="1:3" ht="15.75" customHeight="1" x14ac:dyDescent="0.25">
      <c r="A717" s="20" t="s">
        <v>232</v>
      </c>
      <c r="B717" s="19">
        <v>2400000</v>
      </c>
      <c r="C717" s="19">
        <v>4395</v>
      </c>
    </row>
    <row r="718" spans="1:3" ht="15.75" customHeight="1" x14ac:dyDescent="0.25">
      <c r="A718" s="20" t="s">
        <v>233</v>
      </c>
      <c r="B718" s="19">
        <v>1420000</v>
      </c>
      <c r="C718" s="19">
        <v>2072</v>
      </c>
    </row>
    <row r="719" spans="1:3" ht="15.75" customHeight="1" x14ac:dyDescent="0.25">
      <c r="A719" s="20" t="s">
        <v>234</v>
      </c>
      <c r="B719" s="19">
        <v>870000</v>
      </c>
      <c r="C719" s="19">
        <v>1500</v>
      </c>
    </row>
    <row r="720" spans="1:3" ht="15.75" customHeight="1" x14ac:dyDescent="0.25">
      <c r="A720" s="20" t="s">
        <v>235</v>
      </c>
      <c r="B720" s="19">
        <v>2070000</v>
      </c>
      <c r="C720" s="19">
        <v>3279</v>
      </c>
    </row>
    <row r="721" spans="1:3" ht="15.75" customHeight="1" x14ac:dyDescent="0.25">
      <c r="A721" s="20" t="s">
        <v>236</v>
      </c>
      <c r="B721" s="19">
        <v>682900</v>
      </c>
      <c r="C721" s="19">
        <v>1630</v>
      </c>
    </row>
    <row r="722" spans="1:3" ht="15.75" customHeight="1" x14ac:dyDescent="0.25">
      <c r="A722" s="20" t="s">
        <v>237</v>
      </c>
      <c r="B722" s="19">
        <v>2150000</v>
      </c>
      <c r="C722" s="19">
        <v>2135</v>
      </c>
    </row>
    <row r="723" spans="1:3" ht="15.75" customHeight="1" x14ac:dyDescent="0.25">
      <c r="A723" s="20" t="s">
        <v>238</v>
      </c>
      <c r="B723" s="19">
        <v>860000</v>
      </c>
      <c r="C723" s="19">
        <v>1600</v>
      </c>
    </row>
    <row r="724" spans="1:3" ht="15.75" customHeight="1" x14ac:dyDescent="0.25">
      <c r="A724" s="20" t="s">
        <v>24</v>
      </c>
      <c r="B724" s="19">
        <v>4374300</v>
      </c>
      <c r="C724" s="19">
        <v>11382</v>
      </c>
    </row>
    <row r="725" spans="1:3" ht="15.75" customHeight="1" x14ac:dyDescent="0.25">
      <c r="A725" s="20" t="s">
        <v>239</v>
      </c>
      <c r="B725" s="19">
        <v>850000</v>
      </c>
      <c r="C725" s="19">
        <v>1750</v>
      </c>
    </row>
    <row r="726" spans="1:3" ht="15.75" customHeight="1" x14ac:dyDescent="0.25">
      <c r="A726" s="20" t="s">
        <v>240</v>
      </c>
      <c r="B726" s="19">
        <v>659900</v>
      </c>
      <c r="C726" s="19">
        <v>1535</v>
      </c>
    </row>
    <row r="727" spans="1:3" ht="15.75" customHeight="1" x14ac:dyDescent="0.25">
      <c r="A727" s="20" t="s">
        <v>241</v>
      </c>
      <c r="B727" s="19">
        <v>1880000</v>
      </c>
      <c r="C727" s="19">
        <v>1560</v>
      </c>
    </row>
    <row r="728" spans="1:3" ht="15.75" customHeight="1" x14ac:dyDescent="0.25">
      <c r="A728" s="20" t="s">
        <v>242</v>
      </c>
      <c r="B728" s="19">
        <v>950000</v>
      </c>
      <c r="C728" s="19">
        <v>1500</v>
      </c>
    </row>
    <row r="729" spans="1:3" ht="15.75" customHeight="1" x14ac:dyDescent="0.25">
      <c r="A729" s="20" t="s">
        <v>243</v>
      </c>
      <c r="B729" s="19">
        <v>600000</v>
      </c>
      <c r="C729" s="19">
        <v>1400</v>
      </c>
    </row>
    <row r="730" spans="1:3" ht="15.75" customHeight="1" x14ac:dyDescent="0.25">
      <c r="A730" s="20" t="s">
        <v>244</v>
      </c>
      <c r="B730" s="19">
        <v>670000</v>
      </c>
      <c r="C730" s="19">
        <v>1485</v>
      </c>
    </row>
    <row r="731" spans="1:3" ht="15.75" customHeight="1" x14ac:dyDescent="0.25">
      <c r="A731" s="20" t="s">
        <v>245</v>
      </c>
      <c r="B731" s="19">
        <v>6695000</v>
      </c>
      <c r="C731" s="19">
        <v>9993</v>
      </c>
    </row>
    <row r="732" spans="1:3" ht="15.75" customHeight="1" x14ac:dyDescent="0.25">
      <c r="A732" s="20" t="s">
        <v>25</v>
      </c>
      <c r="B732" s="19">
        <v>18527400</v>
      </c>
      <c r="C732" s="19">
        <v>31542</v>
      </c>
    </row>
    <row r="733" spans="1:3" ht="15.75" customHeight="1" x14ac:dyDescent="0.25">
      <c r="A733" s="20" t="s">
        <v>246</v>
      </c>
      <c r="B733" s="19">
        <v>980000</v>
      </c>
      <c r="C733" s="19">
        <v>1500</v>
      </c>
    </row>
    <row r="734" spans="1:3" ht="15.75" customHeight="1" x14ac:dyDescent="0.25">
      <c r="A734" s="20" t="s">
        <v>247</v>
      </c>
      <c r="B734" s="19">
        <v>480000</v>
      </c>
      <c r="C734" s="19">
        <v>1350</v>
      </c>
    </row>
    <row r="735" spans="1:3" ht="15.75" customHeight="1" x14ac:dyDescent="0.25">
      <c r="A735" s="20" t="s">
        <v>248</v>
      </c>
      <c r="B735" s="19">
        <v>1600000</v>
      </c>
      <c r="C735" s="19">
        <v>2864</v>
      </c>
    </row>
    <row r="736" spans="1:3" ht="15.75" customHeight="1" x14ac:dyDescent="0.25">
      <c r="A736" s="20" t="s">
        <v>26</v>
      </c>
      <c r="B736" s="19">
        <v>4679550</v>
      </c>
      <c r="C736" s="19">
        <v>42736</v>
      </c>
    </row>
    <row r="737" spans="1:3" ht="15.75" customHeight="1" x14ac:dyDescent="0.25">
      <c r="A737" s="20" t="s">
        <v>249</v>
      </c>
      <c r="B737" s="19">
        <v>1150000</v>
      </c>
      <c r="C737" s="19">
        <v>1595</v>
      </c>
    </row>
    <row r="738" spans="1:3" ht="15.75" customHeight="1" x14ac:dyDescent="0.25">
      <c r="A738" s="20" t="s">
        <v>250</v>
      </c>
      <c r="B738" s="19">
        <v>5570000</v>
      </c>
      <c r="C738" s="19">
        <v>8275</v>
      </c>
    </row>
    <row r="739" spans="1:3" ht="15.75" customHeight="1" x14ac:dyDescent="0.25">
      <c r="A739" s="20" t="s">
        <v>7</v>
      </c>
      <c r="B739" s="19">
        <v>476143950</v>
      </c>
      <c r="C739" s="19">
        <v>776176</v>
      </c>
    </row>
    <row r="740" spans="1:3" ht="15.75" customHeight="1" x14ac:dyDescent="0.25"/>
    <row r="741" spans="1:3" ht="15.75" customHeight="1" x14ac:dyDescent="0.25"/>
    <row r="742" spans="1:3" ht="15.75" customHeight="1" x14ac:dyDescent="0.25"/>
    <row r="743" spans="1:3" ht="15.75" customHeight="1" x14ac:dyDescent="0.25"/>
    <row r="744" spans="1:3" ht="15.75" customHeight="1" x14ac:dyDescent="0.25"/>
    <row r="745" spans="1:3" ht="15.75" customHeight="1" x14ac:dyDescent="0.25"/>
    <row r="746" spans="1:3" ht="15.75" customHeight="1" x14ac:dyDescent="0.25"/>
    <row r="747" spans="1:3" ht="15.75" customHeight="1" x14ac:dyDescent="0.25"/>
    <row r="748" spans="1:3" ht="15.75" customHeight="1" x14ac:dyDescent="0.25"/>
    <row r="749" spans="1:3" ht="15.75" customHeight="1" x14ac:dyDescent="0.25"/>
    <row r="750" spans="1:3" ht="15.75" customHeight="1" x14ac:dyDescent="0.25"/>
    <row r="751" spans="1:3" ht="15.75" customHeight="1" x14ac:dyDescent="0.25"/>
    <row r="752" spans="1:3"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spans="1:3" ht="15.75" customHeight="1" x14ac:dyDescent="0.25"/>
    <row r="962" spans="1:3" ht="15.75" customHeight="1" x14ac:dyDescent="0.25"/>
    <row r="963" spans="1:3" ht="15.75" customHeight="1" x14ac:dyDescent="0.25"/>
    <row r="964" spans="1:3" ht="15.75" customHeight="1" x14ac:dyDescent="0.25"/>
    <row r="965" spans="1:3" ht="15.75" customHeight="1" x14ac:dyDescent="0.25">
      <c r="A965" s="19" t="s">
        <v>8</v>
      </c>
      <c r="B965" s="19" t="s">
        <v>13</v>
      </c>
    </row>
    <row r="966" spans="1:3" ht="15.75" customHeight="1" x14ac:dyDescent="0.25">
      <c r="A966" s="19" t="s">
        <v>0</v>
      </c>
      <c r="B966" s="19">
        <v>0</v>
      </c>
      <c r="C966" s="19" t="s">
        <v>7</v>
      </c>
    </row>
    <row r="967" spans="1:3" ht="15.75" customHeight="1" x14ac:dyDescent="0.25">
      <c r="A967" s="20">
        <v>2</v>
      </c>
      <c r="B967" s="19">
        <v>100327500</v>
      </c>
      <c r="C967" s="19">
        <v>100327500</v>
      </c>
    </row>
    <row r="968" spans="1:3" ht="15.75" customHeight="1" x14ac:dyDescent="0.25">
      <c r="A968" s="20">
        <v>3</v>
      </c>
      <c r="B968" s="19">
        <v>343263350</v>
      </c>
      <c r="C968" s="19">
        <v>343263350</v>
      </c>
    </row>
    <row r="969" spans="1:3" ht="15.75" customHeight="1" x14ac:dyDescent="0.25">
      <c r="A969" s="20">
        <v>4</v>
      </c>
      <c r="B969" s="19">
        <v>28933100</v>
      </c>
      <c r="C969" s="19">
        <v>28933100</v>
      </c>
    </row>
    <row r="970" spans="1:3" ht="15.75" customHeight="1" x14ac:dyDescent="0.25">
      <c r="A970" s="20">
        <v>5</v>
      </c>
      <c r="B970" s="19">
        <v>3620000</v>
      </c>
      <c r="C970" s="19">
        <v>3620000</v>
      </c>
    </row>
    <row r="971" spans="1:3" ht="15.75" customHeight="1" x14ac:dyDescent="0.25">
      <c r="A971" s="20" t="s">
        <v>7</v>
      </c>
      <c r="B971" s="19">
        <v>476143950</v>
      </c>
      <c r="C971" s="19">
        <v>476143950</v>
      </c>
    </row>
    <row r="972" spans="1:3" ht="15.75" customHeight="1" x14ac:dyDescent="0.25"/>
    <row r="973" spans="1:3" ht="15.75" customHeight="1" x14ac:dyDescent="0.25"/>
    <row r="974" spans="1:3" ht="15.75" customHeight="1" x14ac:dyDescent="0.25"/>
    <row r="975" spans="1:3" ht="15.75" customHeight="1" x14ac:dyDescent="0.25"/>
    <row r="976" spans="1:3" ht="15.75" customHeight="1" x14ac:dyDescent="0.25"/>
    <row r="977" spans="1:6" ht="15.75" customHeight="1" x14ac:dyDescent="0.25"/>
    <row r="978" spans="1:6" ht="15.75" customHeight="1" x14ac:dyDescent="0.25"/>
    <row r="979" spans="1:6" ht="15.75" customHeight="1" x14ac:dyDescent="0.25"/>
    <row r="980" spans="1:6" ht="15.75" customHeight="1" x14ac:dyDescent="0.25"/>
    <row r="981" spans="1:6" ht="15.75" customHeight="1" x14ac:dyDescent="0.25"/>
    <row r="982" spans="1:6" ht="15.75" customHeight="1" x14ac:dyDescent="0.25"/>
    <row r="983" spans="1:6" ht="15.75" customHeight="1" x14ac:dyDescent="0.25"/>
    <row r="984" spans="1:6" ht="15.75" customHeight="1" x14ac:dyDescent="0.25"/>
    <row r="985" spans="1:6" ht="15.75" customHeight="1" x14ac:dyDescent="0.25">
      <c r="A985" s="19" t="s">
        <v>8</v>
      </c>
      <c r="B985" s="19" t="s">
        <v>13</v>
      </c>
    </row>
    <row r="986" spans="1:6" ht="15.75" customHeight="1" x14ac:dyDescent="0.25">
      <c r="A986" s="19" t="s">
        <v>0</v>
      </c>
      <c r="B986" s="19">
        <v>2</v>
      </c>
      <c r="C986" s="19">
        <v>3</v>
      </c>
      <c r="D986" s="19">
        <v>4</v>
      </c>
      <c r="E986" s="19">
        <v>5</v>
      </c>
      <c r="F986" s="19" t="s">
        <v>7</v>
      </c>
    </row>
    <row r="987" spans="1:6" ht="15.75" customHeight="1" x14ac:dyDescent="0.25">
      <c r="A987" s="20" t="s">
        <v>27</v>
      </c>
      <c r="B987" s="19">
        <v>100327500</v>
      </c>
      <c r="C987" s="19">
        <v>343263350</v>
      </c>
      <c r="D987" s="19">
        <v>28933100</v>
      </c>
      <c r="E987" s="19">
        <v>3620000</v>
      </c>
      <c r="F987" s="19">
        <v>476143950</v>
      </c>
    </row>
    <row r="988" spans="1:6" ht="15.75" customHeight="1" x14ac:dyDescent="0.25">
      <c r="A988" s="20" t="s">
        <v>7</v>
      </c>
      <c r="B988" s="19">
        <v>100327500</v>
      </c>
      <c r="C988" s="19">
        <v>343263350</v>
      </c>
      <c r="D988" s="19">
        <v>28933100</v>
      </c>
      <c r="E988" s="19">
        <v>3620000</v>
      </c>
      <c r="F988" s="19">
        <v>476143950</v>
      </c>
    </row>
    <row r="989" spans="1:6" ht="15.75" customHeight="1" x14ac:dyDescent="0.25"/>
    <row r="990" spans="1:6" ht="15.75" customHeight="1" x14ac:dyDescent="0.25"/>
    <row r="991" spans="1:6" ht="15.75" customHeight="1" x14ac:dyDescent="0.25"/>
    <row r="992" spans="1:6"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showGridLines="0" showRowColHeaders="0" tabSelected="1" workbookViewId="0">
      <selection activeCell="H10" sqref="H10"/>
    </sheetView>
  </sheetViews>
  <sheetFormatPr defaultColWidth="14.42578125" defaultRowHeight="15" customHeight="1" x14ac:dyDescent="0.25"/>
  <cols>
    <col min="1" max="24" width="8.85546875" style="26" customWidth="1"/>
    <col min="25" max="26" width="8.7109375" style="26" customWidth="1"/>
    <col min="27" max="16384" width="14.42578125" style="26"/>
  </cols>
  <sheetData>
    <row r="1" spans="1:26" ht="14.25" customHeight="1" x14ac:dyDescent="0.25">
      <c r="A1" s="25"/>
      <c r="B1" s="25"/>
      <c r="C1" s="25"/>
      <c r="D1" s="25"/>
      <c r="E1" s="25"/>
      <c r="F1" s="25"/>
      <c r="G1" s="25"/>
      <c r="H1" s="25"/>
      <c r="I1" s="25"/>
      <c r="J1" s="25"/>
      <c r="K1" s="25"/>
      <c r="L1" s="25"/>
      <c r="M1" s="25"/>
      <c r="N1" s="25"/>
      <c r="O1" s="25"/>
      <c r="P1" s="25"/>
      <c r="Q1" s="25"/>
      <c r="R1" s="25"/>
      <c r="S1" s="25"/>
      <c r="T1" s="25"/>
      <c r="U1" s="25"/>
      <c r="V1" s="25"/>
      <c r="W1" s="25"/>
      <c r="X1" s="25"/>
      <c r="Y1" s="25"/>
      <c r="Z1" s="25"/>
    </row>
    <row r="2" spans="1:26" ht="14.25" customHeight="1" x14ac:dyDescent="0.25">
      <c r="A2" s="25"/>
      <c r="B2" s="25"/>
      <c r="C2" s="25"/>
      <c r="D2" s="25"/>
      <c r="E2" s="25"/>
      <c r="F2" s="25"/>
      <c r="G2" s="25"/>
      <c r="H2" s="25"/>
      <c r="I2" s="25"/>
      <c r="J2" s="25"/>
      <c r="K2" s="25"/>
      <c r="L2" s="25"/>
      <c r="M2" s="25"/>
      <c r="N2" s="25"/>
      <c r="O2" s="25"/>
      <c r="P2" s="25"/>
      <c r="Q2" s="25"/>
      <c r="R2" s="25"/>
      <c r="S2" s="25"/>
      <c r="T2" s="25"/>
      <c r="U2" s="25"/>
      <c r="V2" s="25"/>
      <c r="W2" s="25"/>
      <c r="X2" s="25"/>
      <c r="Y2" s="25"/>
      <c r="Z2" s="25"/>
    </row>
    <row r="3" spans="1:26" ht="14.25" customHeight="1" x14ac:dyDescent="0.7">
      <c r="A3" s="27" t="s">
        <v>252</v>
      </c>
      <c r="B3" s="25"/>
      <c r="C3" s="25"/>
      <c r="D3" s="25"/>
      <c r="E3" s="25"/>
      <c r="G3" s="38"/>
      <c r="H3" s="38"/>
      <c r="I3" s="38"/>
      <c r="J3" s="38"/>
      <c r="K3" s="38"/>
      <c r="L3" s="38"/>
      <c r="M3" s="38"/>
      <c r="N3" s="38"/>
      <c r="O3" s="38"/>
      <c r="P3" s="38"/>
      <c r="Q3" s="38"/>
      <c r="R3" s="38"/>
      <c r="S3" s="38"/>
      <c r="T3" s="25"/>
      <c r="U3" s="25"/>
      <c r="V3" s="25"/>
      <c r="W3" s="25"/>
      <c r="X3" s="25"/>
      <c r="Y3" s="25"/>
      <c r="Z3" s="25"/>
    </row>
    <row r="4" spans="1:26" ht="14.25" customHeight="1" x14ac:dyDescent="0.25">
      <c r="A4" s="25"/>
      <c r="B4" s="25"/>
      <c r="C4" s="25"/>
      <c r="D4" s="25"/>
      <c r="E4" s="25"/>
      <c r="F4" s="25"/>
      <c r="G4" s="25"/>
      <c r="I4" s="25"/>
      <c r="J4" s="25"/>
      <c r="K4" s="25"/>
      <c r="L4" s="25"/>
      <c r="M4" s="25"/>
      <c r="N4" s="25"/>
      <c r="O4" s="25"/>
      <c r="P4" s="25"/>
      <c r="Q4" s="25"/>
      <c r="R4" s="25"/>
      <c r="S4" s="25"/>
      <c r="T4" s="25"/>
      <c r="U4" s="25"/>
      <c r="V4" s="25"/>
      <c r="W4" s="25"/>
      <c r="X4" s="25"/>
      <c r="Y4" s="25"/>
    </row>
    <row r="5" spans="1:26" ht="14.25" customHeight="1" x14ac:dyDescent="0.25">
      <c r="A5" s="25"/>
      <c r="B5" s="25"/>
      <c r="C5" s="25"/>
      <c r="D5" s="25"/>
      <c r="E5" s="25"/>
      <c r="F5" s="25"/>
      <c r="G5" s="25"/>
      <c r="H5" s="25"/>
      <c r="I5" s="25"/>
      <c r="J5" s="25"/>
      <c r="K5" s="36"/>
      <c r="L5" s="25"/>
      <c r="M5" s="25"/>
      <c r="N5" s="25"/>
      <c r="O5" s="25"/>
      <c r="P5" s="25"/>
      <c r="Q5" s="25"/>
      <c r="R5" s="25"/>
      <c r="S5" s="25"/>
      <c r="T5" s="25"/>
      <c r="U5" s="25"/>
      <c r="V5" s="25"/>
      <c r="W5" s="25"/>
      <c r="X5" s="25"/>
      <c r="Y5" s="25"/>
      <c r="Z5" s="25"/>
    </row>
    <row r="6" spans="1:26" ht="14.25" customHeight="1" x14ac:dyDescent="0.25">
      <c r="A6" s="25"/>
      <c r="B6" s="25"/>
      <c r="C6" s="25"/>
      <c r="D6" s="25"/>
      <c r="E6" s="25"/>
      <c r="F6" s="25"/>
      <c r="G6" s="25"/>
      <c r="H6" s="25"/>
      <c r="I6" s="37"/>
      <c r="J6" s="37"/>
      <c r="K6" s="37"/>
      <c r="L6" s="37"/>
      <c r="M6" s="25"/>
      <c r="N6" s="25"/>
      <c r="O6" s="25"/>
      <c r="P6" s="25"/>
      <c r="Q6" s="25"/>
      <c r="R6" s="25"/>
      <c r="S6" s="25"/>
      <c r="T6" s="25"/>
      <c r="U6" s="25"/>
      <c r="V6" s="25"/>
      <c r="W6" s="25"/>
      <c r="X6" s="25"/>
      <c r="Y6" s="25"/>
      <c r="Z6" s="25"/>
    </row>
    <row r="7" spans="1:26" ht="14.25" customHeight="1" x14ac:dyDescent="0.25">
      <c r="A7" s="25"/>
      <c r="B7" s="25"/>
      <c r="C7" s="25"/>
      <c r="D7" s="25"/>
      <c r="E7" s="25"/>
      <c r="F7" s="25"/>
      <c r="G7" s="25"/>
      <c r="H7" s="25"/>
      <c r="I7" s="37"/>
      <c r="J7" s="37"/>
      <c r="K7" s="37"/>
      <c r="L7" s="37"/>
      <c r="M7" s="25"/>
      <c r="N7" s="25"/>
      <c r="O7" s="25"/>
      <c r="P7" s="25"/>
      <c r="Q7" s="25"/>
      <c r="R7" s="25"/>
      <c r="S7" s="25"/>
      <c r="T7" s="25"/>
      <c r="U7" s="25"/>
      <c r="V7" s="25"/>
      <c r="W7" s="25"/>
      <c r="X7" s="25"/>
      <c r="Y7" s="25"/>
      <c r="Z7" s="25"/>
    </row>
    <row r="8" spans="1:26" ht="14.25" customHeight="1" x14ac:dyDescent="0.25">
      <c r="A8" s="25"/>
      <c r="B8" s="25"/>
      <c r="C8" s="25"/>
      <c r="D8" s="25"/>
      <c r="E8" s="25"/>
      <c r="F8" s="25"/>
      <c r="G8" s="25"/>
      <c r="H8" s="25"/>
      <c r="I8" s="25"/>
      <c r="J8" s="25"/>
      <c r="K8" s="25"/>
      <c r="L8" s="25"/>
      <c r="M8" s="25"/>
      <c r="N8" s="25"/>
      <c r="O8" s="25"/>
      <c r="P8" s="25"/>
      <c r="Q8" s="25"/>
      <c r="R8" s="25"/>
      <c r="S8" s="25"/>
      <c r="T8" s="25"/>
      <c r="U8" s="25"/>
      <c r="V8" s="25"/>
      <c r="W8" s="25"/>
      <c r="X8" s="25"/>
      <c r="Y8" s="25"/>
      <c r="Z8" s="25"/>
    </row>
    <row r="9" spans="1:26" ht="14.25" customHeight="1" x14ac:dyDescent="0.25">
      <c r="A9" s="25"/>
      <c r="B9" s="25"/>
      <c r="C9" s="25"/>
      <c r="D9" s="25"/>
      <c r="E9" s="25"/>
      <c r="F9" s="25"/>
      <c r="G9" s="25"/>
      <c r="H9" s="25"/>
      <c r="I9" s="25"/>
      <c r="J9" s="25"/>
      <c r="K9" s="25"/>
      <c r="L9" s="25"/>
      <c r="M9" s="25"/>
      <c r="N9" s="25"/>
      <c r="O9" s="25"/>
      <c r="P9" s="25"/>
      <c r="Q9" s="25"/>
      <c r="R9" s="25"/>
      <c r="S9" s="25"/>
      <c r="T9" s="25"/>
      <c r="U9" s="25"/>
      <c r="V9" s="25"/>
      <c r="W9" s="25"/>
      <c r="X9" s="25"/>
      <c r="Y9" s="25"/>
      <c r="Z9" s="25"/>
    </row>
    <row r="10" spans="1:26" ht="14.25" customHeight="1" x14ac:dyDescent="0.25">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row>
    <row r="11" spans="1:26" ht="14.25" customHeight="1" x14ac:dyDescent="0.25">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row>
    <row r="12" spans="1:26" ht="6.75" customHeight="1" x14ac:dyDescent="0.25">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row>
    <row r="13" spans="1:26" ht="14.25" customHeight="1" x14ac:dyDescent="0.25">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row>
    <row r="14" spans="1:26" ht="14.25" customHeight="1" x14ac:dyDescent="0.25">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row>
    <row r="15" spans="1:26" ht="14.25" customHeight="1" x14ac:dyDescent="0.25">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row>
    <row r="16" spans="1:26" ht="14.25" customHeight="1" x14ac:dyDescent="0.25">
      <c r="A16" s="25"/>
      <c r="B16" s="25"/>
      <c r="C16" s="25"/>
      <c r="D16" s="25"/>
      <c r="E16" s="25"/>
      <c r="F16" s="25"/>
      <c r="G16" s="25"/>
      <c r="H16" s="25"/>
      <c r="I16" s="25"/>
      <c r="J16" s="25"/>
      <c r="K16" s="25"/>
      <c r="L16" s="25"/>
      <c r="M16" s="25"/>
      <c r="N16" s="25"/>
      <c r="O16" s="25"/>
      <c r="P16" s="25"/>
      <c r="Q16" s="25"/>
      <c r="R16" s="25"/>
      <c r="S16" s="25"/>
      <c r="T16" s="25"/>
      <c r="U16" s="25"/>
      <c r="V16" s="25"/>
      <c r="W16" s="25"/>
      <c r="X16" s="25"/>
      <c r="Y16" s="25"/>
      <c r="Z16" s="25"/>
    </row>
    <row r="17" spans="1:26" ht="14.25" customHeight="1" x14ac:dyDescent="0.25">
      <c r="A17" s="25"/>
      <c r="B17" s="25"/>
      <c r="C17" s="25"/>
      <c r="D17" s="25"/>
      <c r="E17" s="25"/>
      <c r="F17" s="25"/>
      <c r="G17" s="25"/>
      <c r="H17" s="25"/>
      <c r="I17" s="25"/>
      <c r="J17" s="25"/>
      <c r="K17" s="25"/>
      <c r="L17" s="25"/>
      <c r="M17" s="25"/>
      <c r="N17" s="25"/>
      <c r="O17" s="25"/>
      <c r="P17" s="25"/>
      <c r="Q17" s="25"/>
      <c r="R17" s="25"/>
      <c r="S17" s="25"/>
      <c r="T17" s="25"/>
      <c r="U17" s="25"/>
      <c r="V17" s="25"/>
      <c r="W17" s="25"/>
      <c r="X17" s="25"/>
      <c r="Y17" s="25"/>
      <c r="Z17" s="25"/>
    </row>
    <row r="18" spans="1:26" ht="14.25" customHeight="1" x14ac:dyDescent="0.25">
      <c r="A18" s="25"/>
      <c r="B18" s="25"/>
      <c r="C18" s="25"/>
      <c r="D18" s="25"/>
      <c r="E18" s="25"/>
      <c r="F18" s="25"/>
      <c r="G18" s="25"/>
      <c r="H18" s="25"/>
      <c r="I18" s="25"/>
      <c r="J18" s="25"/>
      <c r="K18" s="25"/>
      <c r="L18" s="25"/>
      <c r="M18" s="25"/>
      <c r="N18" s="25"/>
      <c r="O18" s="25"/>
      <c r="P18" s="25"/>
      <c r="Q18" s="25"/>
      <c r="R18" s="25"/>
      <c r="S18" s="25"/>
      <c r="T18" s="25"/>
      <c r="U18" s="25"/>
      <c r="V18" s="25"/>
      <c r="W18" s="25"/>
      <c r="X18" s="25"/>
      <c r="Y18" s="25"/>
      <c r="Z18" s="25"/>
    </row>
    <row r="19" spans="1:26" ht="14.25" customHeight="1" x14ac:dyDescent="0.25">
      <c r="A19" s="25"/>
      <c r="B19" s="25"/>
      <c r="C19" s="25"/>
      <c r="D19" s="25"/>
      <c r="E19" s="25"/>
      <c r="F19" s="25"/>
      <c r="G19" s="25"/>
      <c r="H19" s="25"/>
      <c r="I19" s="25"/>
      <c r="J19" s="25"/>
      <c r="K19" s="25"/>
      <c r="L19" s="25"/>
      <c r="M19" s="25"/>
      <c r="N19" s="25"/>
      <c r="O19" s="25"/>
      <c r="P19" s="25"/>
      <c r="Q19" s="25"/>
      <c r="R19" s="25"/>
      <c r="S19" s="25"/>
      <c r="T19" s="25"/>
      <c r="U19" s="25"/>
      <c r="V19" s="25"/>
      <c r="W19" s="25"/>
      <c r="X19" s="25"/>
      <c r="Y19" s="25"/>
      <c r="Z19" s="25"/>
    </row>
    <row r="20" spans="1:26" ht="14.25" customHeight="1" x14ac:dyDescent="0.25">
      <c r="A20" s="25"/>
      <c r="B20" s="25"/>
      <c r="C20" s="25"/>
      <c r="D20" s="25"/>
      <c r="E20" s="25"/>
      <c r="F20" s="25"/>
      <c r="G20" s="25"/>
      <c r="H20" s="25"/>
      <c r="I20" s="25"/>
      <c r="J20" s="25"/>
      <c r="K20" s="25"/>
      <c r="L20" s="25"/>
      <c r="M20" s="25"/>
      <c r="N20" s="25"/>
      <c r="O20" s="25"/>
      <c r="P20" s="25"/>
      <c r="Q20" s="25"/>
      <c r="R20" s="25"/>
      <c r="S20" s="25"/>
      <c r="T20" s="25"/>
      <c r="U20" s="25"/>
      <c r="V20" s="25"/>
      <c r="W20" s="25"/>
      <c r="X20" s="25"/>
      <c r="Y20" s="25"/>
      <c r="Z20" s="25"/>
    </row>
    <row r="21" spans="1:26" ht="14.25" customHeight="1" x14ac:dyDescent="0.25">
      <c r="A21" s="25"/>
      <c r="B21" s="25"/>
      <c r="C21" s="25"/>
      <c r="D21" s="25"/>
      <c r="E21" s="25"/>
      <c r="F21" s="25"/>
      <c r="G21" s="25"/>
      <c r="H21" s="25"/>
      <c r="I21" s="25"/>
      <c r="J21" s="25"/>
      <c r="K21" s="25"/>
      <c r="L21" s="25"/>
      <c r="M21" s="25"/>
      <c r="N21" s="25"/>
      <c r="O21" s="25"/>
      <c r="P21" s="25"/>
      <c r="Q21" s="25"/>
      <c r="R21" s="25"/>
      <c r="S21" s="25"/>
      <c r="T21" s="25"/>
      <c r="U21" s="25"/>
      <c r="V21" s="25"/>
      <c r="W21" s="25"/>
      <c r="X21" s="25"/>
      <c r="Y21" s="25"/>
      <c r="Z21" s="25"/>
    </row>
    <row r="22" spans="1:26" ht="14.25" customHeight="1" x14ac:dyDescent="0.25">
      <c r="A22" s="25"/>
      <c r="B22" s="25"/>
      <c r="C22" s="25"/>
      <c r="D22" s="25"/>
      <c r="E22" s="25"/>
      <c r="F22" s="25"/>
      <c r="G22" s="25"/>
      <c r="H22" s="25"/>
      <c r="I22" s="25"/>
      <c r="J22" s="25"/>
      <c r="K22" s="25"/>
      <c r="L22" s="25"/>
      <c r="M22" s="25"/>
      <c r="N22" s="25"/>
      <c r="O22" s="25"/>
      <c r="P22" s="25"/>
      <c r="Q22" s="25"/>
      <c r="R22" s="25"/>
      <c r="S22" s="25"/>
      <c r="T22" s="25"/>
      <c r="U22" s="25"/>
      <c r="V22" s="25"/>
      <c r="W22" s="25"/>
      <c r="X22" s="25"/>
      <c r="Y22" s="25"/>
      <c r="Z22" s="25"/>
    </row>
    <row r="23" spans="1:26" ht="14.25" customHeight="1"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row>
    <row r="24" spans="1:26" ht="14.25" customHeight="1"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row>
    <row r="25" spans="1:26" ht="14.25" customHeight="1" x14ac:dyDescent="0.25">
      <c r="A25" s="25"/>
      <c r="B25" s="25"/>
      <c r="C25" s="25"/>
      <c r="D25" s="25"/>
      <c r="E25" s="25"/>
      <c r="F25" s="25"/>
      <c r="G25" s="25"/>
      <c r="H25" s="25"/>
      <c r="I25" s="25"/>
      <c r="J25" s="25"/>
      <c r="K25" s="25"/>
      <c r="L25" s="25"/>
      <c r="M25" s="25"/>
      <c r="N25" s="25"/>
      <c r="O25" s="25"/>
      <c r="P25" s="25"/>
      <c r="Q25" s="25"/>
      <c r="R25" s="25"/>
      <c r="S25" s="25"/>
      <c r="T25" s="25"/>
      <c r="U25" s="25"/>
      <c r="V25" s="25"/>
      <c r="W25" s="25"/>
      <c r="X25" s="25"/>
      <c r="Y25" s="25"/>
      <c r="Z25" s="25"/>
    </row>
    <row r="26" spans="1:26" ht="14.25" customHeight="1" x14ac:dyDescent="0.25">
      <c r="A26" s="25"/>
      <c r="B26" s="25"/>
      <c r="C26" s="25"/>
      <c r="D26" s="25"/>
      <c r="E26" s="25"/>
      <c r="F26" s="25"/>
      <c r="G26" s="25"/>
      <c r="H26" s="25"/>
      <c r="I26" s="25"/>
      <c r="J26" s="25"/>
      <c r="K26" s="25"/>
      <c r="L26" s="25"/>
      <c r="M26" s="25"/>
      <c r="N26" s="25"/>
      <c r="O26" s="25"/>
      <c r="P26" s="25"/>
      <c r="Q26" s="25"/>
      <c r="R26" s="25"/>
      <c r="S26" s="25"/>
      <c r="T26" s="25"/>
      <c r="U26" s="25"/>
      <c r="V26" s="25"/>
      <c r="W26" s="25"/>
      <c r="X26" s="25"/>
      <c r="Y26" s="25"/>
      <c r="Z26" s="25"/>
    </row>
    <row r="27" spans="1:26" ht="14.25" customHeight="1" x14ac:dyDescent="0.25">
      <c r="A27" s="25"/>
      <c r="B27" s="25"/>
      <c r="C27" s="25"/>
      <c r="D27" s="25"/>
      <c r="E27" s="25"/>
      <c r="F27" s="25"/>
      <c r="G27" s="25"/>
      <c r="H27" s="25"/>
      <c r="I27" s="25"/>
      <c r="J27" s="25"/>
      <c r="K27" s="25"/>
      <c r="L27" s="25"/>
      <c r="M27" s="25"/>
      <c r="N27" s="25"/>
      <c r="O27" s="25"/>
      <c r="P27" s="25"/>
      <c r="Q27" s="25"/>
      <c r="R27" s="25"/>
      <c r="S27" s="25"/>
      <c r="T27" s="25"/>
      <c r="U27" s="25"/>
      <c r="V27" s="25"/>
      <c r="W27" s="25"/>
      <c r="X27" s="25"/>
      <c r="Y27" s="25"/>
      <c r="Z27" s="25"/>
    </row>
    <row r="28" spans="1:26" ht="14.25" customHeight="1" x14ac:dyDescent="0.25">
      <c r="A28" s="25"/>
      <c r="B28" s="25"/>
      <c r="C28" s="25"/>
      <c r="D28" s="25"/>
      <c r="E28" s="25"/>
      <c r="F28" s="25"/>
      <c r="G28" s="25"/>
      <c r="H28" s="25"/>
      <c r="I28" s="25"/>
      <c r="J28" s="25"/>
      <c r="K28" s="25"/>
      <c r="L28" s="25"/>
      <c r="M28" s="25"/>
      <c r="N28" s="25"/>
      <c r="O28" s="25"/>
      <c r="P28" s="25"/>
      <c r="Q28" s="25"/>
      <c r="R28" s="25"/>
      <c r="S28" s="25"/>
      <c r="T28" s="25"/>
      <c r="U28" s="25"/>
      <c r="V28" s="25"/>
      <c r="W28" s="25"/>
      <c r="X28" s="25" t="s">
        <v>253</v>
      </c>
      <c r="Y28" s="25"/>
      <c r="Z28" s="25"/>
    </row>
    <row r="29" spans="1:26" ht="14.25" customHeight="1" x14ac:dyDescent="0.25">
      <c r="A29" s="25"/>
      <c r="B29" s="25"/>
      <c r="C29" s="25"/>
      <c r="D29" s="25"/>
      <c r="E29" s="25"/>
      <c r="F29" s="25"/>
      <c r="G29" s="25"/>
      <c r="H29" s="25"/>
      <c r="I29" s="25"/>
      <c r="J29" s="25"/>
      <c r="K29" s="25"/>
      <c r="L29" s="25"/>
      <c r="M29" s="25"/>
      <c r="N29" s="25"/>
      <c r="O29" s="25"/>
      <c r="P29" s="25"/>
      <c r="Q29" s="25"/>
      <c r="R29" s="25"/>
      <c r="S29" s="25"/>
      <c r="T29" s="25"/>
      <c r="U29" s="25"/>
      <c r="V29" s="25"/>
      <c r="W29" s="25"/>
      <c r="X29" s="25"/>
      <c r="Y29" s="25"/>
      <c r="Z29" s="25"/>
    </row>
    <row r="30" spans="1:26" ht="14.25" customHeight="1" x14ac:dyDescent="0.25">
      <c r="A30" s="25"/>
      <c r="B30" s="25"/>
      <c r="C30" s="25"/>
      <c r="D30" s="25"/>
      <c r="E30" s="25"/>
      <c r="F30" s="25"/>
      <c r="G30" s="25"/>
      <c r="H30" s="25"/>
      <c r="I30" s="25"/>
      <c r="J30" s="25"/>
      <c r="K30" s="25"/>
      <c r="L30" s="25"/>
      <c r="M30" s="25"/>
      <c r="N30" s="25"/>
      <c r="O30" s="25"/>
      <c r="P30" s="25"/>
      <c r="Q30" s="25"/>
      <c r="R30" s="25"/>
      <c r="S30" s="25"/>
      <c r="T30" s="25"/>
      <c r="U30" s="25"/>
      <c r="V30" s="25"/>
      <c r="W30" s="25"/>
      <c r="X30" s="25"/>
      <c r="Y30" s="25"/>
      <c r="Z30" s="25"/>
    </row>
    <row r="31" spans="1:26" ht="14.25" customHeight="1" x14ac:dyDescent="0.25">
      <c r="A31" s="25"/>
      <c r="B31" s="25"/>
      <c r="C31" s="25"/>
      <c r="D31" s="25"/>
      <c r="E31" s="25"/>
      <c r="F31" s="25"/>
      <c r="G31" s="25"/>
      <c r="H31" s="25"/>
      <c r="I31" s="25"/>
      <c r="J31" s="25"/>
      <c r="K31" s="25"/>
      <c r="L31" s="25"/>
      <c r="M31" s="25"/>
      <c r="N31" s="25"/>
      <c r="O31" s="25"/>
      <c r="P31" s="25"/>
      <c r="Q31" s="25"/>
      <c r="R31" s="25"/>
      <c r="S31" s="25"/>
      <c r="T31" s="25"/>
      <c r="U31" s="25"/>
      <c r="V31" s="25"/>
      <c r="W31" s="25"/>
      <c r="X31" s="25"/>
      <c r="Y31" s="25"/>
      <c r="Z31" s="25"/>
    </row>
    <row r="32" spans="1:26" ht="14.25" customHeight="1" x14ac:dyDescent="0.25">
      <c r="A32" s="25"/>
      <c r="B32" s="25"/>
      <c r="C32" s="25"/>
      <c r="D32" s="25"/>
      <c r="E32" s="25"/>
      <c r="F32" s="25"/>
      <c r="G32" s="25"/>
      <c r="H32" s="25"/>
      <c r="I32" s="25"/>
      <c r="J32" s="25"/>
      <c r="K32" s="25"/>
      <c r="L32" s="25"/>
      <c r="M32" s="25"/>
      <c r="N32" s="25"/>
      <c r="O32" s="25"/>
      <c r="P32" s="25"/>
      <c r="Q32" s="25"/>
      <c r="R32" s="25"/>
      <c r="S32" s="25"/>
      <c r="T32" s="25"/>
      <c r="U32" s="25"/>
      <c r="V32" s="25"/>
      <c r="W32" s="25"/>
      <c r="X32" s="25"/>
      <c r="Y32" s="25"/>
      <c r="Z32" s="25"/>
    </row>
    <row r="33" spans="1:26" ht="14.25" customHeight="1" x14ac:dyDescent="0.25">
      <c r="A33" s="25"/>
      <c r="B33" s="25"/>
      <c r="C33" s="25"/>
      <c r="D33" s="25"/>
      <c r="E33" s="25"/>
      <c r="F33" s="25"/>
      <c r="G33" s="25"/>
      <c r="H33" s="25"/>
      <c r="I33" s="25"/>
      <c r="J33" s="25"/>
      <c r="K33" s="25"/>
      <c r="L33" s="25"/>
      <c r="M33" s="25"/>
      <c r="N33" s="25"/>
      <c r="O33" s="25"/>
      <c r="P33" s="25"/>
      <c r="Q33" s="25"/>
      <c r="R33" s="25"/>
      <c r="S33" s="25"/>
      <c r="T33" s="25"/>
      <c r="U33" s="25"/>
      <c r="V33" s="25"/>
      <c r="W33" s="25"/>
      <c r="X33" s="25"/>
      <c r="Y33" s="25"/>
      <c r="Z33" s="25"/>
    </row>
    <row r="34" spans="1:26" ht="14.25" customHeight="1" x14ac:dyDescent="0.25">
      <c r="A34" s="25"/>
      <c r="B34" s="25"/>
      <c r="C34" s="25"/>
      <c r="D34" s="25"/>
      <c r="E34" s="25"/>
      <c r="F34" s="25"/>
      <c r="G34" s="25"/>
      <c r="H34" s="25"/>
      <c r="I34" s="25"/>
      <c r="J34" s="25"/>
      <c r="K34" s="25"/>
      <c r="L34" s="25"/>
      <c r="M34" s="25"/>
      <c r="N34" s="25"/>
      <c r="O34" s="25"/>
      <c r="P34" s="25"/>
      <c r="Q34" s="25"/>
      <c r="R34" s="25"/>
      <c r="S34" s="25"/>
      <c r="T34" s="25"/>
      <c r="U34" s="25"/>
      <c r="V34" s="25"/>
      <c r="W34" s="25"/>
      <c r="X34" s="25"/>
      <c r="Y34" s="25"/>
      <c r="Z34" s="25"/>
    </row>
    <row r="35" spans="1:26" ht="14.25" customHeight="1" x14ac:dyDescent="0.25">
      <c r="A35" s="25"/>
      <c r="B35" s="25"/>
      <c r="C35" s="25"/>
      <c r="D35" s="25"/>
      <c r="E35" s="25"/>
      <c r="F35" s="25"/>
      <c r="G35" s="25"/>
      <c r="H35" s="25"/>
      <c r="I35" s="25"/>
      <c r="J35" s="25"/>
      <c r="K35" s="25"/>
      <c r="L35" s="25"/>
      <c r="M35" s="25"/>
      <c r="N35" s="25"/>
      <c r="O35" s="25"/>
      <c r="P35" s="25"/>
      <c r="Q35" s="25"/>
      <c r="R35" s="25"/>
      <c r="S35" s="25"/>
      <c r="T35" s="25"/>
      <c r="U35" s="25"/>
      <c r="V35" s="25"/>
      <c r="W35" s="25"/>
      <c r="X35" s="25"/>
      <c r="Y35" s="25"/>
      <c r="Z35" s="25"/>
    </row>
    <row r="36" spans="1:26" ht="14.25" customHeight="1" x14ac:dyDescent="0.25">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row>
    <row r="37" spans="1:26" ht="14.25" customHeight="1" x14ac:dyDescent="0.25">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row>
    <row r="38" spans="1:26" ht="14.25" customHeight="1" x14ac:dyDescent="0.25">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row>
    <row r="39" spans="1:26" ht="14.25" customHeight="1"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row>
    <row r="40" spans="1:26" ht="14.25" customHeight="1"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row>
    <row r="41" spans="1:26" ht="14.25" customHeight="1" x14ac:dyDescent="0.25">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row>
    <row r="42" spans="1:26" ht="14.25" customHeight="1" x14ac:dyDescent="0.25">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row>
    <row r="43" spans="1:26" ht="14.25" customHeight="1" x14ac:dyDescent="0.25">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row>
    <row r="44" spans="1:26" ht="14.25" customHeight="1" x14ac:dyDescent="0.25">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row>
    <row r="45" spans="1:26" ht="14.25" customHeight="1" x14ac:dyDescent="0.25">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row>
    <row r="46" spans="1:26" ht="14.25" customHeight="1" x14ac:dyDescent="0.25">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row>
    <row r="47" spans="1:26" ht="14.25" customHeight="1" x14ac:dyDescent="0.25">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row>
    <row r="48" spans="1:26" ht="14.25" customHeight="1" x14ac:dyDescent="0.25">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row>
    <row r="49" spans="1:26" ht="14.25" customHeight="1" x14ac:dyDescent="0.25">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row>
    <row r="50" spans="1:26" ht="14.25" customHeight="1" x14ac:dyDescent="0.25">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row>
    <row r="51" spans="1:26" ht="14.25" customHeight="1" x14ac:dyDescent="0.25">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row>
    <row r="52" spans="1:26" ht="14.25" customHeight="1" x14ac:dyDescent="0.25">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row>
    <row r="53" spans="1:26" ht="14.25" customHeight="1" x14ac:dyDescent="0.25">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row>
    <row r="54" spans="1:26" ht="14.25" customHeight="1" x14ac:dyDescent="0.25">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row>
    <row r="55" spans="1:26" ht="14.25" customHeight="1"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row>
    <row r="56" spans="1:26" ht="14.25" customHeight="1"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row>
    <row r="57" spans="1:26" ht="14.25" customHeight="1"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row>
    <row r="58" spans="1:26" ht="14.25" customHeight="1"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row>
    <row r="59" spans="1:26" ht="14.25" customHeight="1"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row>
    <row r="60" spans="1:26" ht="14.25" customHeight="1" x14ac:dyDescent="0.25">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row>
    <row r="61" spans="1:26" ht="14.25" customHeight="1" x14ac:dyDescent="0.25">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row>
    <row r="62" spans="1:26" ht="14.25" customHeight="1" x14ac:dyDescent="0.25">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row>
    <row r="63" spans="1:26" ht="14.25" customHeight="1" x14ac:dyDescent="0.25">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row>
    <row r="64" spans="1:26" ht="14.25" customHeight="1" x14ac:dyDescent="0.25">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row>
    <row r="65" spans="1:26" ht="14.25" customHeight="1" x14ac:dyDescent="0.25">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row>
    <row r="66" spans="1:26" ht="14.25" customHeight="1" x14ac:dyDescent="0.25">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row>
    <row r="67" spans="1:26" ht="14.25" customHeight="1" x14ac:dyDescent="0.25">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row>
    <row r="68" spans="1:26" ht="14.25" customHeight="1" x14ac:dyDescent="0.25">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row>
    <row r="69" spans="1:26" ht="14.25" customHeight="1" x14ac:dyDescent="0.25">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row>
    <row r="70" spans="1:26" ht="14.25" customHeight="1" x14ac:dyDescent="0.25">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row>
    <row r="71" spans="1:26" ht="14.25" customHeight="1" x14ac:dyDescent="0.25">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row>
    <row r="72" spans="1:26" ht="14.25" customHeight="1" x14ac:dyDescent="0.25">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row>
    <row r="73" spans="1:26" ht="14.25" customHeight="1" x14ac:dyDescent="0.25">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row>
    <row r="74" spans="1:26" ht="14.25" customHeight="1" x14ac:dyDescent="0.25">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row>
    <row r="75" spans="1:26" ht="14.25" customHeight="1" x14ac:dyDescent="0.25">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row>
    <row r="76" spans="1:26" ht="14.25" customHeight="1" x14ac:dyDescent="0.25">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row>
    <row r="77" spans="1:26" ht="14.25" customHeight="1" x14ac:dyDescent="0.25">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row>
    <row r="78" spans="1:26" ht="14.25" customHeight="1" x14ac:dyDescent="0.25">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row>
    <row r="79" spans="1:26" ht="14.25" customHeight="1" x14ac:dyDescent="0.25">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row>
    <row r="80" spans="1:26" ht="14.25" customHeight="1" x14ac:dyDescent="0.25">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row>
    <row r="81" spans="1:26" ht="14.25" customHeight="1" x14ac:dyDescent="0.25">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row>
    <row r="82" spans="1:26" ht="14.25" customHeight="1" x14ac:dyDescent="0.25">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row>
    <row r="83" spans="1:26" ht="14.25" customHeight="1" x14ac:dyDescent="0.25">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row>
    <row r="84" spans="1:26" ht="14.25" customHeight="1" x14ac:dyDescent="0.25">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row>
    <row r="85" spans="1:26" ht="14.25" customHeight="1" x14ac:dyDescent="0.25">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row>
    <row r="86" spans="1:26" ht="14.25" customHeight="1" x14ac:dyDescent="0.25">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row>
    <row r="87" spans="1:26" ht="14.25" customHeight="1" x14ac:dyDescent="0.25">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row>
    <row r="88" spans="1:26" ht="14.25" customHeight="1" x14ac:dyDescent="0.25">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row>
    <row r="89" spans="1:26" ht="14.25" customHeight="1" x14ac:dyDescent="0.25">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row>
    <row r="90" spans="1:26" ht="14.25" customHeight="1" x14ac:dyDescent="0.25">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row>
    <row r="91" spans="1:26" ht="14.25" customHeight="1" x14ac:dyDescent="0.25">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row>
    <row r="92" spans="1:26" ht="14.25" customHeight="1" x14ac:dyDescent="0.25">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row>
    <row r="93" spans="1:26" ht="14.25" customHeight="1" x14ac:dyDescent="0.25">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row>
    <row r="94" spans="1:26" ht="14.25" customHeight="1" x14ac:dyDescent="0.25">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row>
    <row r="95" spans="1:26" ht="14.25" customHeight="1" x14ac:dyDescent="0.2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row>
    <row r="96" spans="1:26" ht="14.25" customHeight="1" x14ac:dyDescent="0.25">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row>
    <row r="97" spans="1:26" ht="14.25" customHeight="1" x14ac:dyDescent="0.25">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row>
    <row r="98" spans="1:26" ht="14.25" customHeight="1" x14ac:dyDescent="0.25">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row>
    <row r="99" spans="1:26" ht="14.25" customHeight="1" x14ac:dyDescent="0.25">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row>
    <row r="100" spans="1:26" ht="14.25" customHeight="1" x14ac:dyDescent="0.25">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row>
    <row r="101" spans="1:26" ht="14.25" customHeight="1" x14ac:dyDescent="0.25">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row>
    <row r="102" spans="1:26" ht="14.25" customHeight="1" x14ac:dyDescent="0.25">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row>
    <row r="103" spans="1:26" ht="14.25" customHeight="1" x14ac:dyDescent="0.25">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row>
    <row r="104" spans="1:26" ht="14.25" customHeight="1" x14ac:dyDescent="0.25">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row>
    <row r="105" spans="1:26" ht="14.25" customHeight="1" x14ac:dyDescent="0.2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row>
    <row r="106" spans="1:26" ht="14.25" customHeight="1" x14ac:dyDescent="0.25">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row>
    <row r="107" spans="1:26" ht="14.25" customHeight="1" x14ac:dyDescent="0.25">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row>
    <row r="108" spans="1:26" ht="14.25" customHeight="1" x14ac:dyDescent="0.25">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row>
    <row r="109" spans="1:26" ht="14.25" customHeight="1" x14ac:dyDescent="0.25">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row>
    <row r="110" spans="1:26" ht="14.25" customHeight="1" x14ac:dyDescent="0.25">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row>
    <row r="111" spans="1:26" ht="14.25" customHeight="1" x14ac:dyDescent="0.25">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row>
    <row r="112" spans="1:26" ht="14.25" customHeight="1" x14ac:dyDescent="0.25">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row>
    <row r="113" spans="1:26" ht="14.25" customHeight="1" x14ac:dyDescent="0.25">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row>
    <row r="114" spans="1:26" ht="14.25" customHeight="1" x14ac:dyDescent="0.25">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row>
    <row r="115" spans="1:26" ht="14.25" customHeight="1" x14ac:dyDescent="0.2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row>
    <row r="116" spans="1:26" ht="14.25" customHeight="1" x14ac:dyDescent="0.25">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row>
    <row r="117" spans="1:26" ht="14.25" customHeight="1" x14ac:dyDescent="0.25">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row>
    <row r="118" spans="1:26" ht="14.25" customHeight="1" x14ac:dyDescent="0.25">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row>
    <row r="119" spans="1:26" ht="14.25" customHeight="1" x14ac:dyDescent="0.25">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row>
    <row r="120" spans="1:26" ht="14.25" customHeight="1" x14ac:dyDescent="0.25">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row>
    <row r="121" spans="1:26" ht="14.25" customHeight="1" x14ac:dyDescent="0.25">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row>
    <row r="122" spans="1:26" ht="14.25" customHeight="1" x14ac:dyDescent="0.25">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row>
    <row r="123" spans="1:26" ht="14.25" customHeight="1" x14ac:dyDescent="0.25">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row>
    <row r="124" spans="1:26" ht="14.25" customHeight="1" x14ac:dyDescent="0.25">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row>
    <row r="125" spans="1:26" ht="14.25" customHeight="1" x14ac:dyDescent="0.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row>
    <row r="126" spans="1:26" ht="14.25" customHeight="1" x14ac:dyDescent="0.25">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row>
    <row r="127" spans="1:26" ht="14.25" customHeight="1" x14ac:dyDescent="0.25">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row>
    <row r="128" spans="1:26" ht="14.25" customHeight="1" x14ac:dyDescent="0.25">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row>
    <row r="129" spans="1:26" ht="14.25" customHeight="1" x14ac:dyDescent="0.25">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row>
    <row r="130" spans="1:26" ht="14.25" customHeight="1" x14ac:dyDescent="0.25">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row>
    <row r="131" spans="1:26" ht="14.25" customHeight="1" x14ac:dyDescent="0.25">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row>
    <row r="132" spans="1:26" ht="14.25" customHeight="1" x14ac:dyDescent="0.25">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row>
    <row r="133" spans="1:26" ht="14.25" customHeight="1" x14ac:dyDescent="0.25">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row>
    <row r="134" spans="1:26" ht="14.25" customHeight="1" x14ac:dyDescent="0.25">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row>
    <row r="135" spans="1:26" ht="14.25" customHeight="1" x14ac:dyDescent="0.2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row>
    <row r="136" spans="1:26" ht="14.25" customHeight="1" x14ac:dyDescent="0.25">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row>
    <row r="137" spans="1:26" ht="14.25" customHeight="1" x14ac:dyDescent="0.25">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row>
    <row r="138" spans="1:26" ht="14.25" customHeight="1" x14ac:dyDescent="0.25">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row>
    <row r="139" spans="1:26" ht="14.25" customHeight="1" x14ac:dyDescent="0.25">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row>
    <row r="140" spans="1:26" ht="14.25" customHeight="1" x14ac:dyDescent="0.25">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row>
    <row r="141" spans="1:26" ht="14.25" customHeight="1" x14ac:dyDescent="0.25">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row>
    <row r="142" spans="1:26" ht="14.25" customHeight="1" x14ac:dyDescent="0.25">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row>
    <row r="143" spans="1:26" ht="14.25" customHeight="1" x14ac:dyDescent="0.25">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row>
    <row r="144" spans="1:26" ht="14.25" customHeight="1" x14ac:dyDescent="0.25">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row>
    <row r="145" spans="1:26" ht="14.25" customHeight="1" x14ac:dyDescent="0.2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row>
    <row r="146" spans="1:26" ht="14.25" customHeight="1" x14ac:dyDescent="0.25">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row>
    <row r="147" spans="1:26" ht="14.25" customHeight="1" x14ac:dyDescent="0.25">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row>
    <row r="148" spans="1:26" ht="14.25" customHeight="1" x14ac:dyDescent="0.25">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row>
    <row r="149" spans="1:26" ht="14.25" customHeight="1" x14ac:dyDescent="0.25">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row>
    <row r="150" spans="1:26" ht="14.25" customHeight="1" x14ac:dyDescent="0.25">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row>
    <row r="151" spans="1:26" ht="14.25" customHeight="1" x14ac:dyDescent="0.25">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row>
    <row r="152" spans="1:26" ht="14.25" customHeight="1" x14ac:dyDescent="0.25">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row>
    <row r="153" spans="1:26" ht="14.25" customHeight="1" x14ac:dyDescent="0.25">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row>
    <row r="154" spans="1:26" ht="14.25" customHeight="1" x14ac:dyDescent="0.25">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row>
    <row r="155" spans="1:26" ht="14.25" customHeight="1" x14ac:dyDescent="0.2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row>
    <row r="156" spans="1:26" ht="14.25" customHeight="1" x14ac:dyDescent="0.25">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row>
    <row r="157" spans="1:26" ht="14.25" customHeight="1" x14ac:dyDescent="0.25">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row>
    <row r="158" spans="1:26" ht="14.25" customHeight="1" x14ac:dyDescent="0.25">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row>
    <row r="159" spans="1:26" ht="14.25" customHeight="1" x14ac:dyDescent="0.25">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row>
    <row r="160" spans="1:26" ht="14.25" customHeight="1" x14ac:dyDescent="0.25">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row>
    <row r="161" spans="1:26" ht="14.25" customHeight="1" x14ac:dyDescent="0.25">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row>
    <row r="162" spans="1:26" ht="14.25" customHeight="1" x14ac:dyDescent="0.25">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row>
    <row r="163" spans="1:26" ht="14.25" customHeight="1" x14ac:dyDescent="0.25">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row>
    <row r="164" spans="1:26" ht="14.25" customHeight="1" x14ac:dyDescent="0.25">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row>
    <row r="165" spans="1:26" ht="14.25" customHeight="1" x14ac:dyDescent="0.2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row>
    <row r="166" spans="1:26" ht="14.25" customHeight="1" x14ac:dyDescent="0.25">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row>
    <row r="167" spans="1:26" ht="14.25" customHeight="1" x14ac:dyDescent="0.25">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row>
    <row r="168" spans="1:26" ht="14.25" customHeight="1" x14ac:dyDescent="0.25">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row>
    <row r="169" spans="1:26" ht="14.25" customHeight="1" x14ac:dyDescent="0.25">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row>
    <row r="170" spans="1:26" ht="14.25" customHeight="1" x14ac:dyDescent="0.25">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row>
    <row r="171" spans="1:26" ht="14.25" customHeight="1" x14ac:dyDescent="0.25">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row>
    <row r="172" spans="1:26" ht="14.25" customHeight="1" x14ac:dyDescent="0.25">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row>
    <row r="173" spans="1:26" ht="14.25" customHeight="1" x14ac:dyDescent="0.25">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row>
    <row r="174" spans="1:26" ht="14.25" customHeight="1" x14ac:dyDescent="0.25">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row>
    <row r="175" spans="1:26" ht="14.25" customHeight="1" x14ac:dyDescent="0.2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row>
    <row r="176" spans="1:26" ht="14.25" customHeight="1" x14ac:dyDescent="0.25">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row>
    <row r="177" spans="1:26" ht="14.25" customHeight="1" x14ac:dyDescent="0.25">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row>
    <row r="178" spans="1:26" ht="14.25" customHeight="1" x14ac:dyDescent="0.25">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row>
    <row r="179" spans="1:26" ht="14.25" customHeight="1" x14ac:dyDescent="0.25">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row>
    <row r="180" spans="1:26" ht="14.25" customHeight="1" x14ac:dyDescent="0.25">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row>
    <row r="181" spans="1:26" ht="14.25" customHeight="1" x14ac:dyDescent="0.25">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row>
    <row r="182" spans="1:26" ht="14.25" customHeight="1" x14ac:dyDescent="0.25">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row>
    <row r="183" spans="1:26" ht="14.25" customHeight="1" x14ac:dyDescent="0.25">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row>
    <row r="184" spans="1:26" ht="14.25" customHeight="1" x14ac:dyDescent="0.25">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row>
    <row r="185" spans="1:26" ht="14.25" customHeight="1" x14ac:dyDescent="0.2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row>
    <row r="186" spans="1:26" ht="14.25" customHeight="1" x14ac:dyDescent="0.25">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row>
    <row r="187" spans="1:26" ht="14.25" customHeight="1" x14ac:dyDescent="0.25">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row>
    <row r="188" spans="1:26" ht="14.25" customHeight="1" x14ac:dyDescent="0.25">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row>
    <row r="189" spans="1:26" ht="14.25" customHeight="1" x14ac:dyDescent="0.25">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row>
    <row r="190" spans="1:26" ht="14.25" customHeight="1" x14ac:dyDescent="0.25">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row>
    <row r="191" spans="1:26" ht="14.25" customHeight="1" x14ac:dyDescent="0.25">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row>
    <row r="192" spans="1:26" ht="14.25" customHeight="1" x14ac:dyDescent="0.25">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row>
    <row r="193" spans="1:26" ht="14.25" customHeight="1" x14ac:dyDescent="0.25">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row>
    <row r="194" spans="1:26" ht="14.25" customHeight="1" x14ac:dyDescent="0.25">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row>
    <row r="195" spans="1:26" ht="14.25" customHeight="1" x14ac:dyDescent="0.2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row>
    <row r="196" spans="1:26" ht="14.25" customHeight="1" x14ac:dyDescent="0.25">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row>
    <row r="197" spans="1:26" ht="14.25" customHeight="1" x14ac:dyDescent="0.25">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row>
    <row r="198" spans="1:26" ht="14.25" customHeight="1" x14ac:dyDescent="0.25">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row>
    <row r="199" spans="1:26" ht="14.25" customHeight="1" x14ac:dyDescent="0.25">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row>
    <row r="200" spans="1:26" ht="14.25" customHeight="1" x14ac:dyDescent="0.25">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row>
    <row r="201" spans="1:26" ht="14.25" customHeight="1" x14ac:dyDescent="0.25">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row>
    <row r="202" spans="1:26" ht="14.25" customHeight="1" x14ac:dyDescent="0.25">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row>
    <row r="203" spans="1:26" ht="14.25" customHeight="1" x14ac:dyDescent="0.25">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row>
    <row r="204" spans="1:26" ht="14.25" customHeight="1" x14ac:dyDescent="0.25">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row>
    <row r="205" spans="1:26" ht="14.25" customHeight="1" x14ac:dyDescent="0.2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row>
    <row r="206" spans="1:26" ht="14.25" customHeight="1" x14ac:dyDescent="0.25">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row>
    <row r="207" spans="1:26" ht="14.25" customHeight="1" x14ac:dyDescent="0.25">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row>
    <row r="208" spans="1:26" ht="14.25" customHeight="1" x14ac:dyDescent="0.25">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row>
    <row r="209" spans="1:26" ht="14.25" customHeight="1" x14ac:dyDescent="0.25">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row>
    <row r="210" spans="1:26" ht="14.25" customHeight="1" x14ac:dyDescent="0.25">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row>
    <row r="211" spans="1:26" ht="14.25" customHeight="1" x14ac:dyDescent="0.25">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row>
    <row r="212" spans="1:26" ht="14.25" customHeight="1" x14ac:dyDescent="0.25">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row>
    <row r="213" spans="1:26" ht="14.25" customHeight="1" x14ac:dyDescent="0.25">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row>
    <row r="214" spans="1:26" ht="14.25" customHeight="1" x14ac:dyDescent="0.25">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row>
    <row r="215" spans="1:26" ht="14.25" customHeight="1" x14ac:dyDescent="0.2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row>
    <row r="216" spans="1:26" ht="14.25" customHeight="1" x14ac:dyDescent="0.25">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row>
    <row r="217" spans="1:26" ht="14.25" customHeight="1" x14ac:dyDescent="0.25">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row>
    <row r="218" spans="1:26" ht="14.25" customHeight="1" x14ac:dyDescent="0.25">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row>
    <row r="219" spans="1:26" ht="14.25" customHeight="1" x14ac:dyDescent="0.25">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row>
    <row r="220" spans="1:26" ht="14.25" customHeight="1" x14ac:dyDescent="0.25">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row>
    <row r="221" spans="1:26" ht="14.25" customHeight="1" x14ac:dyDescent="0.25">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row>
    <row r="222" spans="1:26" ht="14.25" customHeight="1" x14ac:dyDescent="0.25">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row>
    <row r="223" spans="1:26" ht="14.25" customHeight="1" x14ac:dyDescent="0.25">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row>
    <row r="224" spans="1:26" ht="14.25" customHeight="1" x14ac:dyDescent="0.25">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row>
    <row r="225" spans="1:26" ht="14.25" customHeight="1" x14ac:dyDescent="0.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row>
    <row r="226" spans="1:26" ht="14.25" customHeight="1" x14ac:dyDescent="0.25">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row>
    <row r="227" spans="1:26" ht="14.25" customHeight="1" x14ac:dyDescent="0.25">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row>
    <row r="228" spans="1:26" ht="14.25" customHeight="1" x14ac:dyDescent="0.25">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row>
    <row r="229" spans="1:26" ht="14.25" customHeight="1" x14ac:dyDescent="0.25">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row>
    <row r="230" spans="1:26" ht="14.25" customHeight="1" x14ac:dyDescent="0.25">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row>
    <row r="231" spans="1:26" ht="14.25" customHeight="1" x14ac:dyDescent="0.25">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row>
    <row r="232" spans="1:26" ht="14.25" customHeight="1" x14ac:dyDescent="0.25">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row>
    <row r="233" spans="1:26" ht="14.25" customHeight="1" x14ac:dyDescent="0.25">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row>
    <row r="234" spans="1:26" ht="14.25" customHeight="1" x14ac:dyDescent="0.25">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row>
    <row r="235" spans="1:26" ht="14.25" customHeight="1" x14ac:dyDescent="0.2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row>
    <row r="236" spans="1:26" ht="14.25" customHeight="1" x14ac:dyDescent="0.25">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row>
    <row r="237" spans="1:26" ht="14.25" customHeight="1" x14ac:dyDescent="0.25">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row>
    <row r="238" spans="1:26" ht="14.25" customHeight="1" x14ac:dyDescent="0.25">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row>
    <row r="239" spans="1:26" ht="14.25" customHeight="1" x14ac:dyDescent="0.25">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row>
    <row r="240" spans="1:26" ht="14.25" customHeight="1" x14ac:dyDescent="0.25">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row>
    <row r="241" spans="1:26" ht="14.25" customHeight="1" x14ac:dyDescent="0.25">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row>
    <row r="242" spans="1:26" ht="14.25" customHeight="1" x14ac:dyDescent="0.25">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row>
    <row r="243" spans="1:26" ht="14.25" customHeight="1" x14ac:dyDescent="0.25">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row>
    <row r="244" spans="1:26" ht="14.25" customHeight="1" x14ac:dyDescent="0.25">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row>
    <row r="245" spans="1:26" ht="14.25" customHeight="1" x14ac:dyDescent="0.2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row>
    <row r="246" spans="1:26" ht="14.25" customHeight="1" x14ac:dyDescent="0.25">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row>
    <row r="247" spans="1:26" ht="14.25" customHeight="1" x14ac:dyDescent="0.25">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row>
    <row r="248" spans="1:26" ht="14.25" customHeight="1" x14ac:dyDescent="0.25">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row>
    <row r="249" spans="1:26" ht="14.25" customHeight="1" x14ac:dyDescent="0.25">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row>
    <row r="250" spans="1:26" ht="14.25" customHeight="1" x14ac:dyDescent="0.25">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row>
    <row r="251" spans="1:26" ht="14.25" customHeight="1" x14ac:dyDescent="0.25">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row>
    <row r="252" spans="1:26" ht="14.25" customHeight="1" x14ac:dyDescent="0.25">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row>
    <row r="253" spans="1:26" ht="14.25" customHeight="1" x14ac:dyDescent="0.25">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row>
    <row r="254" spans="1:26" ht="14.25" customHeight="1" x14ac:dyDescent="0.25">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row>
    <row r="255" spans="1:26" ht="14.25" customHeight="1" x14ac:dyDescent="0.2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row>
    <row r="256" spans="1:26" ht="14.25" customHeight="1" x14ac:dyDescent="0.25">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row>
    <row r="257" spans="1:26" ht="14.25" customHeight="1" x14ac:dyDescent="0.25">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row>
    <row r="258" spans="1:26" ht="14.25" customHeight="1" x14ac:dyDescent="0.25">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row>
    <row r="259" spans="1:26" ht="14.25" customHeight="1" x14ac:dyDescent="0.25">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row>
    <row r="260" spans="1:26" ht="14.25" customHeight="1" x14ac:dyDescent="0.25">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row>
    <row r="261" spans="1:26" ht="14.25" customHeight="1" x14ac:dyDescent="0.25">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row>
    <row r="262" spans="1:26" ht="14.25" customHeight="1" x14ac:dyDescent="0.25">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row>
    <row r="263" spans="1:26" ht="14.25" customHeight="1" x14ac:dyDescent="0.25">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row>
    <row r="264" spans="1:26" ht="14.25" customHeight="1" x14ac:dyDescent="0.25">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row>
    <row r="265" spans="1:26" ht="14.25" customHeight="1" x14ac:dyDescent="0.2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row>
    <row r="266" spans="1:26" ht="14.25" customHeight="1" x14ac:dyDescent="0.25">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row>
    <row r="267" spans="1:26" ht="14.25" customHeight="1" x14ac:dyDescent="0.25">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row>
    <row r="268" spans="1:26" ht="14.25" customHeight="1" x14ac:dyDescent="0.25">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row>
    <row r="269" spans="1:26" ht="14.25" customHeight="1" x14ac:dyDescent="0.25">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row>
    <row r="270" spans="1:26" ht="14.25" customHeight="1" x14ac:dyDescent="0.25">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row>
    <row r="271" spans="1:26" ht="14.25" customHeight="1" x14ac:dyDescent="0.25">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row>
    <row r="272" spans="1:26" ht="14.25" customHeight="1" x14ac:dyDescent="0.25">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row>
    <row r="273" spans="1:26" ht="14.25" customHeight="1" x14ac:dyDescent="0.25">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row>
    <row r="274" spans="1:26" ht="14.25" customHeight="1" x14ac:dyDescent="0.25">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row>
    <row r="275" spans="1:26" ht="14.25" customHeight="1" x14ac:dyDescent="0.2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row>
    <row r="276" spans="1:26" ht="14.25" customHeight="1" x14ac:dyDescent="0.25">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row>
    <row r="277" spans="1:26" ht="14.25" customHeight="1" x14ac:dyDescent="0.25">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row>
    <row r="278" spans="1:26" ht="14.25" customHeight="1" x14ac:dyDescent="0.25">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row>
    <row r="279" spans="1:26" ht="14.25" customHeight="1" x14ac:dyDescent="0.25">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row>
    <row r="280" spans="1:26" ht="14.25" customHeight="1" x14ac:dyDescent="0.25">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row>
    <row r="281" spans="1:26" ht="14.25" customHeight="1" x14ac:dyDescent="0.25">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row>
    <row r="282" spans="1:26" ht="14.25" customHeight="1" x14ac:dyDescent="0.25">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row>
    <row r="283" spans="1:26" ht="14.25" customHeight="1" x14ac:dyDescent="0.25">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row>
    <row r="284" spans="1:26" ht="14.25" customHeight="1" x14ac:dyDescent="0.25">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row>
    <row r="285" spans="1:26" ht="14.25" customHeight="1" x14ac:dyDescent="0.2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row>
    <row r="286" spans="1:26" ht="14.25" customHeight="1" x14ac:dyDescent="0.25">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row>
    <row r="287" spans="1:26" ht="14.25" customHeight="1" x14ac:dyDescent="0.25">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row>
    <row r="288" spans="1:26" ht="14.25" customHeight="1" x14ac:dyDescent="0.25">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row>
    <row r="289" spans="1:26" ht="14.25" customHeight="1" x14ac:dyDescent="0.25">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row>
    <row r="290" spans="1:26" ht="14.25" customHeight="1" x14ac:dyDescent="0.25">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row>
    <row r="291" spans="1:26" ht="14.25" customHeight="1" x14ac:dyDescent="0.25">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row>
    <row r="292" spans="1:26" ht="14.25" customHeight="1" x14ac:dyDescent="0.25">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row>
    <row r="293" spans="1:26" ht="14.25" customHeight="1" x14ac:dyDescent="0.25">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row>
    <row r="294" spans="1:26" ht="14.25" customHeight="1" x14ac:dyDescent="0.25">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row>
    <row r="295" spans="1:26" ht="14.25" customHeight="1" x14ac:dyDescent="0.2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row>
    <row r="296" spans="1:26" ht="14.25" customHeight="1" x14ac:dyDescent="0.25">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row>
    <row r="297" spans="1:26" ht="14.25" customHeight="1" x14ac:dyDescent="0.25">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row>
    <row r="298" spans="1:26" ht="14.25" customHeight="1" x14ac:dyDescent="0.25">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row>
    <row r="299" spans="1:26" ht="14.25" customHeight="1" x14ac:dyDescent="0.25">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row>
    <row r="300" spans="1:26" ht="14.25" customHeight="1" x14ac:dyDescent="0.25">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row>
    <row r="301" spans="1:26" ht="14.25" customHeight="1" x14ac:dyDescent="0.25">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row>
    <row r="302" spans="1:26" ht="14.25" customHeight="1" x14ac:dyDescent="0.25">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row>
    <row r="303" spans="1:26" ht="14.25" customHeight="1" x14ac:dyDescent="0.25">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row>
    <row r="304" spans="1:26" ht="14.25" customHeight="1" x14ac:dyDescent="0.25">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row>
    <row r="305" spans="1:26" ht="14.25" customHeight="1" x14ac:dyDescent="0.2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row>
    <row r="306" spans="1:26" ht="14.25" customHeight="1" x14ac:dyDescent="0.25">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row>
    <row r="307" spans="1:26" ht="14.25" customHeight="1" x14ac:dyDescent="0.25">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row>
    <row r="308" spans="1:26" ht="14.25" customHeight="1" x14ac:dyDescent="0.25">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row>
    <row r="309" spans="1:26" ht="14.25" customHeight="1" x14ac:dyDescent="0.25">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row>
    <row r="310" spans="1:26" ht="14.25" customHeight="1" x14ac:dyDescent="0.25">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row>
    <row r="311" spans="1:26" ht="14.25" customHeight="1" x14ac:dyDescent="0.25">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row>
    <row r="312" spans="1:26" ht="14.25" customHeight="1" x14ac:dyDescent="0.25">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row>
    <row r="313" spans="1:26" ht="14.25" customHeight="1" x14ac:dyDescent="0.25">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row>
    <row r="314" spans="1:26" ht="14.25" customHeight="1" x14ac:dyDescent="0.25">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row>
    <row r="315" spans="1:26" ht="14.25" customHeight="1" x14ac:dyDescent="0.2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row>
    <row r="316" spans="1:26" ht="14.25" customHeight="1" x14ac:dyDescent="0.25">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row>
    <row r="317" spans="1:26" ht="14.25" customHeight="1" x14ac:dyDescent="0.25">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row>
    <row r="318" spans="1:26" ht="14.25" customHeight="1" x14ac:dyDescent="0.25">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row>
    <row r="319" spans="1:26" ht="14.25" customHeight="1" x14ac:dyDescent="0.25">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row>
    <row r="320" spans="1:26" ht="14.25" customHeight="1" x14ac:dyDescent="0.25">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row>
    <row r="321" spans="1:26" ht="14.25" customHeight="1" x14ac:dyDescent="0.25">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row>
    <row r="322" spans="1:26" ht="14.25" customHeight="1" x14ac:dyDescent="0.25">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row>
    <row r="323" spans="1:26" ht="14.25" customHeight="1" x14ac:dyDescent="0.25">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row>
    <row r="324" spans="1:26" ht="14.25" customHeight="1" x14ac:dyDescent="0.25">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row>
    <row r="325" spans="1:26" ht="14.25" customHeight="1" x14ac:dyDescent="0.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row>
    <row r="326" spans="1:26" ht="14.25" customHeight="1" x14ac:dyDescent="0.25">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row>
    <row r="327" spans="1:26" ht="14.25" customHeight="1" x14ac:dyDescent="0.25">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row>
    <row r="328" spans="1:26" ht="14.25" customHeight="1" x14ac:dyDescent="0.25">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row>
    <row r="329" spans="1:26" ht="14.25" customHeight="1" x14ac:dyDescent="0.25">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row>
    <row r="330" spans="1:26" ht="14.25" customHeight="1" x14ac:dyDescent="0.25">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row>
    <row r="331" spans="1:26" ht="14.25" customHeight="1" x14ac:dyDescent="0.25">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row>
    <row r="332" spans="1:26" ht="14.25" customHeight="1" x14ac:dyDescent="0.25">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row>
    <row r="333" spans="1:26" ht="14.25" customHeight="1" x14ac:dyDescent="0.25">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row>
    <row r="334" spans="1:26" ht="14.25" customHeight="1" x14ac:dyDescent="0.25">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row>
    <row r="335" spans="1:26" ht="14.25" customHeight="1" x14ac:dyDescent="0.2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row>
    <row r="336" spans="1:26" ht="14.25" customHeight="1" x14ac:dyDescent="0.25">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row>
    <row r="337" spans="1:26" ht="14.25" customHeight="1" x14ac:dyDescent="0.25">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row>
    <row r="338" spans="1:26" ht="14.25" customHeight="1" x14ac:dyDescent="0.25">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row>
    <row r="339" spans="1:26" ht="14.25" customHeight="1" x14ac:dyDescent="0.25">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row>
    <row r="340" spans="1:26" ht="14.25" customHeight="1" x14ac:dyDescent="0.25">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row>
    <row r="341" spans="1:26" ht="14.25" customHeight="1" x14ac:dyDescent="0.25">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row>
    <row r="342" spans="1:26" ht="14.25" customHeight="1" x14ac:dyDescent="0.25">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row>
    <row r="343" spans="1:26" ht="14.25" customHeight="1" x14ac:dyDescent="0.25">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row>
    <row r="344" spans="1:26" ht="14.25" customHeight="1" x14ac:dyDescent="0.25">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row>
    <row r="345" spans="1:26" ht="14.25" customHeight="1" x14ac:dyDescent="0.2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row>
    <row r="346" spans="1:26" ht="14.25" customHeight="1" x14ac:dyDescent="0.25">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row>
    <row r="347" spans="1:26" ht="14.25" customHeight="1" x14ac:dyDescent="0.25">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row>
    <row r="348" spans="1:26" ht="14.25" customHeight="1" x14ac:dyDescent="0.25">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row>
    <row r="349" spans="1:26" ht="14.25" customHeight="1" x14ac:dyDescent="0.25">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row>
    <row r="350" spans="1:26" ht="14.25" customHeight="1" x14ac:dyDescent="0.25">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row>
    <row r="351" spans="1:26" ht="14.25" customHeight="1" x14ac:dyDescent="0.25">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row>
    <row r="352" spans="1:26" ht="14.25" customHeight="1" x14ac:dyDescent="0.25">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row>
    <row r="353" spans="1:26" ht="14.25" customHeight="1" x14ac:dyDescent="0.25">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row>
    <row r="354" spans="1:26" ht="14.25" customHeight="1" x14ac:dyDescent="0.2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row>
    <row r="355" spans="1:26" ht="14.25" customHeight="1" x14ac:dyDescent="0.2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row>
    <row r="356" spans="1:26" ht="14.25" customHeight="1" x14ac:dyDescent="0.2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row>
    <row r="357" spans="1:26" ht="14.25" customHeight="1" x14ac:dyDescent="0.2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row>
    <row r="358" spans="1:26" ht="14.25" customHeight="1" x14ac:dyDescent="0.2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row>
    <row r="359" spans="1:26" ht="14.25" customHeight="1" x14ac:dyDescent="0.2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row>
    <row r="360" spans="1:26" ht="14.25" customHeight="1" x14ac:dyDescent="0.2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row>
    <row r="361" spans="1:26" ht="14.25" customHeight="1" x14ac:dyDescent="0.2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row>
    <row r="362" spans="1:26" ht="14.25" customHeight="1" x14ac:dyDescent="0.2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row>
    <row r="363" spans="1:26" ht="14.25" customHeight="1" x14ac:dyDescent="0.2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row>
    <row r="364" spans="1:26" ht="14.25" customHeight="1" x14ac:dyDescent="0.2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row>
    <row r="365" spans="1:26" ht="14.25" customHeight="1" x14ac:dyDescent="0.2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row>
    <row r="366" spans="1:26" ht="14.25" customHeight="1" x14ac:dyDescent="0.2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row>
    <row r="367" spans="1:26" ht="14.25" customHeight="1" x14ac:dyDescent="0.2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row>
    <row r="368" spans="1:26" ht="14.25" customHeight="1" x14ac:dyDescent="0.2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row>
    <row r="369" spans="1:26" ht="14.25" customHeight="1" x14ac:dyDescent="0.2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row>
    <row r="370" spans="1:26" ht="14.25" customHeight="1" x14ac:dyDescent="0.2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row>
    <row r="371" spans="1:26" ht="14.25" customHeight="1" x14ac:dyDescent="0.2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row>
    <row r="372" spans="1:26" ht="14.25" customHeight="1" x14ac:dyDescent="0.2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row>
    <row r="373" spans="1:26" ht="14.25" customHeight="1" x14ac:dyDescent="0.2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row>
    <row r="374" spans="1:26" ht="14.25" customHeight="1" x14ac:dyDescent="0.2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row>
    <row r="375" spans="1:26" ht="14.25" customHeight="1" x14ac:dyDescent="0.2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row>
    <row r="376" spans="1:26" ht="14.25" customHeight="1" x14ac:dyDescent="0.2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row>
    <row r="377" spans="1:26" ht="14.25" customHeight="1" x14ac:dyDescent="0.2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row>
    <row r="378" spans="1:26" ht="14.25" customHeight="1" x14ac:dyDescent="0.2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row>
    <row r="379" spans="1:26" ht="14.25" customHeight="1" x14ac:dyDescent="0.2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row>
    <row r="380" spans="1:26" ht="14.25" customHeight="1" x14ac:dyDescent="0.2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row>
    <row r="381" spans="1:26" ht="14.25" customHeight="1" x14ac:dyDescent="0.2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row>
    <row r="382" spans="1:26" ht="14.25" customHeight="1" x14ac:dyDescent="0.2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row>
    <row r="383" spans="1:26" ht="14.25" customHeight="1" x14ac:dyDescent="0.2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row>
    <row r="384" spans="1:26" ht="14.25" customHeight="1" x14ac:dyDescent="0.2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row>
    <row r="385" spans="1:26" ht="14.25" customHeight="1" x14ac:dyDescent="0.2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row>
    <row r="386" spans="1:26" ht="14.25" customHeight="1" x14ac:dyDescent="0.2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row>
    <row r="387" spans="1:26" ht="14.25" customHeight="1" x14ac:dyDescent="0.2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row>
    <row r="388" spans="1:26" ht="14.25" customHeight="1" x14ac:dyDescent="0.2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row>
    <row r="389" spans="1:26" ht="14.25" customHeight="1" x14ac:dyDescent="0.2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row>
    <row r="390" spans="1:26" ht="14.25" customHeight="1" x14ac:dyDescent="0.2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row>
    <row r="391" spans="1:26" ht="14.25" customHeight="1" x14ac:dyDescent="0.2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row>
    <row r="392" spans="1:26" ht="14.25" customHeight="1" x14ac:dyDescent="0.2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row>
    <row r="393" spans="1:26" ht="14.25" customHeight="1" x14ac:dyDescent="0.2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row>
    <row r="394" spans="1:26" ht="14.25" customHeight="1" x14ac:dyDescent="0.2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row>
    <row r="395" spans="1:26" ht="14.25" customHeight="1" x14ac:dyDescent="0.2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row>
    <row r="396" spans="1:26" ht="14.25" customHeight="1" x14ac:dyDescent="0.2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row>
    <row r="397" spans="1:26" ht="14.25" customHeight="1" x14ac:dyDescent="0.2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row>
    <row r="398" spans="1:26" ht="14.25" customHeight="1" x14ac:dyDescent="0.2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row>
    <row r="399" spans="1:26" ht="14.25" customHeight="1" x14ac:dyDescent="0.2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row>
    <row r="400" spans="1:26" ht="14.25" customHeight="1" x14ac:dyDescent="0.2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row>
    <row r="401" spans="1:26" ht="14.25" customHeight="1" x14ac:dyDescent="0.2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row>
    <row r="402" spans="1:26" ht="14.25" customHeight="1" x14ac:dyDescent="0.2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row>
    <row r="403" spans="1:26" ht="14.25" customHeight="1" x14ac:dyDescent="0.2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row>
    <row r="404" spans="1:26" ht="14.25" customHeight="1" x14ac:dyDescent="0.2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row>
    <row r="405" spans="1:26" ht="14.25" customHeight="1" x14ac:dyDescent="0.2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row>
    <row r="406" spans="1:26" ht="14.25" customHeight="1" x14ac:dyDescent="0.2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row>
    <row r="407" spans="1:26" ht="14.25" customHeight="1" x14ac:dyDescent="0.2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row>
    <row r="408" spans="1:26" ht="14.25" customHeight="1" x14ac:dyDescent="0.2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row>
    <row r="409" spans="1:26" ht="14.25" customHeight="1" x14ac:dyDescent="0.2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row>
    <row r="410" spans="1:26" ht="14.25" customHeight="1" x14ac:dyDescent="0.2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row>
    <row r="411" spans="1:26" ht="14.25" customHeight="1" x14ac:dyDescent="0.2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row>
    <row r="412" spans="1:26" ht="14.25" customHeight="1" x14ac:dyDescent="0.2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row>
    <row r="413" spans="1:26" ht="14.25" customHeight="1" x14ac:dyDescent="0.2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row>
    <row r="414" spans="1:26" ht="14.25" customHeight="1" x14ac:dyDescent="0.2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row>
    <row r="415" spans="1:26" ht="14.25" customHeight="1" x14ac:dyDescent="0.2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row>
    <row r="416" spans="1:26" ht="14.25" customHeight="1" x14ac:dyDescent="0.2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row>
    <row r="417" spans="1:26" ht="14.25" customHeight="1" x14ac:dyDescent="0.2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row>
    <row r="418" spans="1:26" ht="14.25" customHeight="1" x14ac:dyDescent="0.2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row>
    <row r="419" spans="1:26" ht="14.25" customHeight="1" x14ac:dyDescent="0.2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row>
    <row r="420" spans="1:26" ht="14.25" customHeight="1" x14ac:dyDescent="0.2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row>
    <row r="421" spans="1:26" ht="14.25" customHeight="1" x14ac:dyDescent="0.2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row>
    <row r="422" spans="1:26" ht="14.25" customHeight="1" x14ac:dyDescent="0.2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row>
    <row r="423" spans="1:26" ht="14.25" customHeight="1" x14ac:dyDescent="0.2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row>
    <row r="424" spans="1:26" ht="14.25" customHeight="1" x14ac:dyDescent="0.2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row>
    <row r="425" spans="1:26" ht="14.25" customHeight="1" x14ac:dyDescent="0.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row>
    <row r="426" spans="1:26" ht="14.25" customHeight="1" x14ac:dyDescent="0.2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row>
    <row r="427" spans="1:26" ht="14.25" customHeight="1" x14ac:dyDescent="0.2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row>
    <row r="428" spans="1:26" ht="14.25" customHeight="1" x14ac:dyDescent="0.2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row>
    <row r="429" spans="1:26" ht="14.25" customHeight="1" x14ac:dyDescent="0.2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row>
    <row r="430" spans="1:26" ht="14.25" customHeight="1" x14ac:dyDescent="0.2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row>
    <row r="431" spans="1:26" ht="14.25" customHeight="1" x14ac:dyDescent="0.2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row>
    <row r="432" spans="1:26" ht="14.25" customHeight="1" x14ac:dyDescent="0.2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row>
    <row r="433" spans="1:26" ht="14.25" customHeight="1" x14ac:dyDescent="0.2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row>
    <row r="434" spans="1:26" ht="14.25" customHeight="1" x14ac:dyDescent="0.2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row>
    <row r="435" spans="1:26" ht="14.25" customHeight="1" x14ac:dyDescent="0.2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row>
    <row r="436" spans="1:26" ht="14.25" customHeight="1" x14ac:dyDescent="0.2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row>
    <row r="437" spans="1:26" ht="14.25" customHeight="1" x14ac:dyDescent="0.2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row>
    <row r="438" spans="1:26" ht="14.25" customHeight="1" x14ac:dyDescent="0.2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row>
    <row r="439" spans="1:26" ht="14.25" customHeight="1" x14ac:dyDescent="0.2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row>
    <row r="440" spans="1:26" ht="14.25" customHeight="1" x14ac:dyDescent="0.2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row>
    <row r="441" spans="1:26" ht="14.25" customHeight="1" x14ac:dyDescent="0.2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row>
    <row r="442" spans="1:26" ht="14.25" customHeight="1" x14ac:dyDescent="0.2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row>
    <row r="443" spans="1:26" ht="14.25" customHeight="1" x14ac:dyDescent="0.2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row>
    <row r="444" spans="1:26" ht="14.25" customHeight="1" x14ac:dyDescent="0.2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row>
    <row r="445" spans="1:26" ht="14.25" customHeight="1" x14ac:dyDescent="0.2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row>
    <row r="446" spans="1:26" ht="14.25" customHeight="1" x14ac:dyDescent="0.2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row>
    <row r="447" spans="1:26" ht="14.25" customHeight="1" x14ac:dyDescent="0.2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row>
    <row r="448" spans="1:26" ht="14.25" customHeight="1" x14ac:dyDescent="0.2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row>
    <row r="449" spans="1:26" ht="14.25" customHeight="1" x14ac:dyDescent="0.2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row>
    <row r="450" spans="1:26" ht="14.25" customHeight="1" x14ac:dyDescent="0.2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row>
    <row r="451" spans="1:26" ht="14.25" customHeight="1" x14ac:dyDescent="0.2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row>
    <row r="452" spans="1:26" ht="14.25" customHeight="1" x14ac:dyDescent="0.2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row>
    <row r="453" spans="1:26" ht="14.25" customHeight="1" x14ac:dyDescent="0.2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row>
    <row r="454" spans="1:26" ht="14.25" customHeight="1" x14ac:dyDescent="0.2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row>
    <row r="455" spans="1:26" ht="14.25" customHeight="1" x14ac:dyDescent="0.2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row>
    <row r="456" spans="1:26" ht="14.25" customHeight="1" x14ac:dyDescent="0.2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row>
    <row r="457" spans="1:26" ht="14.25" customHeight="1" x14ac:dyDescent="0.2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row>
    <row r="458" spans="1:26" ht="14.25" customHeight="1" x14ac:dyDescent="0.2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row>
    <row r="459" spans="1:26" ht="14.25" customHeight="1" x14ac:dyDescent="0.2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row>
    <row r="460" spans="1:26" ht="14.25" customHeight="1" x14ac:dyDescent="0.2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row>
    <row r="461" spans="1:26" ht="14.25" customHeight="1" x14ac:dyDescent="0.2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row>
    <row r="462" spans="1:26" ht="14.25" customHeight="1" x14ac:dyDescent="0.2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row>
    <row r="463" spans="1:26" ht="14.25" customHeight="1" x14ac:dyDescent="0.2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row>
    <row r="464" spans="1:26" ht="14.25" customHeight="1" x14ac:dyDescent="0.2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row>
    <row r="465" spans="1:26" ht="14.25" customHeight="1" x14ac:dyDescent="0.2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row>
    <row r="466" spans="1:26" ht="14.25" customHeight="1" x14ac:dyDescent="0.2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row>
    <row r="467" spans="1:26" ht="14.25" customHeight="1" x14ac:dyDescent="0.2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row>
    <row r="468" spans="1:26" ht="14.25" customHeight="1" x14ac:dyDescent="0.2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row>
    <row r="469" spans="1:26" ht="14.25" customHeight="1" x14ac:dyDescent="0.2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row>
    <row r="470" spans="1:26" ht="14.25" customHeight="1" x14ac:dyDescent="0.2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row>
    <row r="471" spans="1:26" ht="14.25" customHeight="1" x14ac:dyDescent="0.2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row>
    <row r="472" spans="1:26" ht="14.25" customHeight="1" x14ac:dyDescent="0.2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row>
    <row r="473" spans="1:26" ht="14.25" customHeight="1" x14ac:dyDescent="0.2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row>
    <row r="474" spans="1:26" ht="14.25" customHeight="1" x14ac:dyDescent="0.2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row>
    <row r="475" spans="1:26" ht="14.25" customHeight="1" x14ac:dyDescent="0.2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row>
    <row r="476" spans="1:26" ht="14.25" customHeight="1" x14ac:dyDescent="0.2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row>
    <row r="477" spans="1:26" ht="14.25" customHeight="1" x14ac:dyDescent="0.2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row>
    <row r="478" spans="1:26" ht="14.25" customHeight="1" x14ac:dyDescent="0.2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row>
    <row r="479" spans="1:26" ht="14.25" customHeight="1" x14ac:dyDescent="0.2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row>
    <row r="480" spans="1:26" ht="14.25" customHeight="1" x14ac:dyDescent="0.2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row>
    <row r="481" spans="1:26" ht="14.25" customHeight="1" x14ac:dyDescent="0.2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row>
    <row r="482" spans="1:26" ht="14.25" customHeight="1" x14ac:dyDescent="0.2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row>
    <row r="483" spans="1:26" ht="14.25" customHeight="1" x14ac:dyDescent="0.2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row>
    <row r="484" spans="1:26" ht="14.25" customHeight="1" x14ac:dyDescent="0.2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row>
    <row r="485" spans="1:26" ht="14.25" customHeight="1" x14ac:dyDescent="0.2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row>
    <row r="486" spans="1:26" ht="14.25" customHeight="1" x14ac:dyDescent="0.2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row>
    <row r="487" spans="1:26" ht="14.25" customHeight="1" x14ac:dyDescent="0.2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row>
    <row r="488" spans="1:26" ht="14.25" customHeight="1" x14ac:dyDescent="0.2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row>
    <row r="489" spans="1:26" ht="14.25" customHeight="1" x14ac:dyDescent="0.2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row>
    <row r="490" spans="1:26" ht="14.25" customHeight="1" x14ac:dyDescent="0.2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row>
    <row r="491" spans="1:26" ht="14.25" customHeight="1" x14ac:dyDescent="0.2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row>
    <row r="492" spans="1:26" ht="14.25" customHeight="1" x14ac:dyDescent="0.2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row>
    <row r="493" spans="1:26" ht="14.25" customHeight="1" x14ac:dyDescent="0.2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row>
    <row r="494" spans="1:26" ht="14.25" customHeight="1" x14ac:dyDescent="0.2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row>
    <row r="495" spans="1:26" ht="14.25" customHeight="1" x14ac:dyDescent="0.2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row>
    <row r="496" spans="1:26" ht="14.25" customHeight="1" x14ac:dyDescent="0.2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row>
    <row r="497" spans="1:26" ht="14.25" customHeight="1" x14ac:dyDescent="0.25">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row>
    <row r="498" spans="1:26" ht="14.25" customHeight="1" x14ac:dyDescent="0.25">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row>
    <row r="499" spans="1:26" ht="14.25" customHeight="1" x14ac:dyDescent="0.25">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row>
    <row r="500" spans="1:26" ht="14.25" customHeight="1" x14ac:dyDescent="0.25">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row>
    <row r="501" spans="1:26" ht="14.25" customHeight="1" x14ac:dyDescent="0.25">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row>
    <row r="502" spans="1:26" ht="14.25" customHeight="1" x14ac:dyDescent="0.25">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row>
    <row r="503" spans="1:26" ht="14.25" customHeight="1" x14ac:dyDescent="0.25">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row>
    <row r="504" spans="1:26" ht="14.25" customHeight="1" x14ac:dyDescent="0.25">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row>
    <row r="505" spans="1:26" ht="14.25" customHeight="1" x14ac:dyDescent="0.2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row>
    <row r="506" spans="1:26" ht="14.25" customHeight="1" x14ac:dyDescent="0.25">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row>
    <row r="507" spans="1:26" ht="14.25" customHeight="1" x14ac:dyDescent="0.25">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row>
    <row r="508" spans="1:26" ht="14.25" customHeight="1" x14ac:dyDescent="0.25">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row>
    <row r="509" spans="1:26" ht="14.25" customHeight="1" x14ac:dyDescent="0.25">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row>
    <row r="510" spans="1:26" ht="14.25" customHeight="1" x14ac:dyDescent="0.25">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row>
    <row r="511" spans="1:26" ht="14.25" customHeight="1" x14ac:dyDescent="0.25">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row>
    <row r="512" spans="1:26" ht="14.25" customHeight="1" x14ac:dyDescent="0.25">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row>
    <row r="513" spans="1:26" ht="14.25" customHeight="1" x14ac:dyDescent="0.25">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row>
    <row r="514" spans="1:26" ht="14.25" customHeight="1" x14ac:dyDescent="0.25">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row>
    <row r="515" spans="1:26" ht="14.25" customHeight="1" x14ac:dyDescent="0.2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row>
    <row r="516" spans="1:26" ht="14.25" customHeight="1" x14ac:dyDescent="0.25">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row>
    <row r="517" spans="1:26" ht="14.25" customHeight="1" x14ac:dyDescent="0.25">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row>
    <row r="518" spans="1:26" ht="14.25" customHeight="1" x14ac:dyDescent="0.25">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row>
    <row r="519" spans="1:26" ht="14.25" customHeight="1" x14ac:dyDescent="0.25">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row>
    <row r="520" spans="1:26" ht="14.25" customHeight="1" x14ac:dyDescent="0.25">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row>
    <row r="521" spans="1:26" ht="14.25" customHeight="1" x14ac:dyDescent="0.25">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row>
    <row r="522" spans="1:26" ht="14.25" customHeight="1" x14ac:dyDescent="0.25">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row>
    <row r="523" spans="1:26" ht="14.25" customHeight="1" x14ac:dyDescent="0.25">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row>
    <row r="524" spans="1:26" ht="14.25" customHeight="1" x14ac:dyDescent="0.25">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row>
    <row r="525" spans="1:26" ht="14.25" customHeight="1" x14ac:dyDescent="0.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row>
    <row r="526" spans="1:26" ht="14.25" customHeight="1" x14ac:dyDescent="0.25">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row>
    <row r="527" spans="1:26" ht="14.25" customHeight="1" x14ac:dyDescent="0.25">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row>
    <row r="528" spans="1:26" ht="14.25" customHeight="1" x14ac:dyDescent="0.25">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row>
    <row r="529" spans="1:26" ht="14.25" customHeight="1" x14ac:dyDescent="0.25">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row>
    <row r="530" spans="1:26" ht="14.25" customHeight="1" x14ac:dyDescent="0.25">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row>
    <row r="531" spans="1:26" ht="14.25" customHeight="1" x14ac:dyDescent="0.25">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row>
    <row r="532" spans="1:26" ht="14.25" customHeight="1" x14ac:dyDescent="0.25">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row>
    <row r="533" spans="1:26" ht="14.25" customHeight="1" x14ac:dyDescent="0.25">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row>
    <row r="534" spans="1:26" ht="14.25" customHeight="1" x14ac:dyDescent="0.25">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row>
    <row r="535" spans="1:26" ht="14.25" customHeight="1" x14ac:dyDescent="0.2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row>
    <row r="536" spans="1:26" ht="14.25" customHeight="1" x14ac:dyDescent="0.25">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row>
    <row r="537" spans="1:26" ht="14.25" customHeight="1" x14ac:dyDescent="0.25">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row>
    <row r="538" spans="1:26" ht="14.25" customHeight="1" x14ac:dyDescent="0.25">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row>
    <row r="539" spans="1:26" ht="14.25" customHeight="1" x14ac:dyDescent="0.25">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row>
    <row r="540" spans="1:26" ht="14.25" customHeight="1" x14ac:dyDescent="0.25">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row>
    <row r="541" spans="1:26" ht="14.25" customHeight="1" x14ac:dyDescent="0.25">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row>
    <row r="542" spans="1:26" ht="14.25" customHeight="1" x14ac:dyDescent="0.25">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row>
    <row r="543" spans="1:26" ht="14.25" customHeight="1" x14ac:dyDescent="0.25">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row>
    <row r="544" spans="1:26" ht="14.25" customHeight="1" x14ac:dyDescent="0.25">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row>
    <row r="545" spans="1:26" ht="14.25" customHeight="1" x14ac:dyDescent="0.2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row>
    <row r="546" spans="1:26" ht="14.25" customHeight="1" x14ac:dyDescent="0.25">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row>
    <row r="547" spans="1:26" ht="14.25" customHeight="1" x14ac:dyDescent="0.25">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row>
    <row r="548" spans="1:26" ht="14.25" customHeight="1" x14ac:dyDescent="0.25">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row>
    <row r="549" spans="1:26" ht="14.25" customHeight="1" x14ac:dyDescent="0.25">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row>
    <row r="550" spans="1:26" ht="14.25" customHeight="1" x14ac:dyDescent="0.25">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row>
    <row r="551" spans="1:26" ht="14.25" customHeight="1" x14ac:dyDescent="0.25">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row>
    <row r="552" spans="1:26" ht="14.25" customHeight="1" x14ac:dyDescent="0.25">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row>
    <row r="553" spans="1:26" ht="14.25" customHeight="1" x14ac:dyDescent="0.25">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row>
    <row r="554" spans="1:26" ht="14.25" customHeight="1" x14ac:dyDescent="0.25">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row>
    <row r="555" spans="1:26" ht="14.25" customHeight="1" x14ac:dyDescent="0.2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row>
    <row r="556" spans="1:26" ht="14.25" customHeight="1" x14ac:dyDescent="0.25">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row>
    <row r="557" spans="1:26" ht="14.25" customHeight="1" x14ac:dyDescent="0.25">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row>
    <row r="558" spans="1:26" ht="14.25" customHeight="1" x14ac:dyDescent="0.25">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row>
    <row r="559" spans="1:26" ht="14.25" customHeight="1" x14ac:dyDescent="0.25">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row>
    <row r="560" spans="1:26" ht="14.25" customHeight="1" x14ac:dyDescent="0.25">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row>
    <row r="561" spans="1:26" ht="14.25" customHeight="1" x14ac:dyDescent="0.25">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row>
    <row r="562" spans="1:26" ht="14.25" customHeight="1" x14ac:dyDescent="0.25">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row>
    <row r="563" spans="1:26" ht="14.25" customHeight="1" x14ac:dyDescent="0.25">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row>
    <row r="564" spans="1:26" ht="14.25" customHeight="1" x14ac:dyDescent="0.25">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row>
    <row r="565" spans="1:26" ht="14.25" customHeight="1" x14ac:dyDescent="0.2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row>
    <row r="566" spans="1:26" ht="14.25" customHeight="1" x14ac:dyDescent="0.25">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row>
    <row r="567" spans="1:26" ht="14.25" customHeight="1" x14ac:dyDescent="0.25">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row>
    <row r="568" spans="1:26" ht="14.25" customHeight="1" x14ac:dyDescent="0.25">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row>
    <row r="569" spans="1:26" ht="14.25" customHeight="1" x14ac:dyDescent="0.25">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row>
    <row r="570" spans="1:26" ht="14.25" customHeight="1" x14ac:dyDescent="0.25">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row>
    <row r="571" spans="1:26" ht="14.25" customHeight="1" x14ac:dyDescent="0.25">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row>
    <row r="572" spans="1:26" ht="14.25" customHeight="1" x14ac:dyDescent="0.25">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row>
    <row r="573" spans="1:26" ht="14.25" customHeight="1" x14ac:dyDescent="0.25">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row>
    <row r="574" spans="1:26" ht="14.25" customHeight="1" x14ac:dyDescent="0.25">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row>
    <row r="575" spans="1:26" ht="14.25" customHeight="1" x14ac:dyDescent="0.2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row>
    <row r="576" spans="1:26" ht="14.25" customHeight="1" x14ac:dyDescent="0.25">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row>
    <row r="577" spans="1:26" ht="14.25" customHeight="1" x14ac:dyDescent="0.25">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row>
    <row r="578" spans="1:26" ht="14.25" customHeight="1" x14ac:dyDescent="0.25">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row>
    <row r="579" spans="1:26" ht="14.25" customHeight="1" x14ac:dyDescent="0.25">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row>
    <row r="580" spans="1:26" ht="14.25" customHeight="1" x14ac:dyDescent="0.25">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row>
    <row r="581" spans="1:26" ht="14.25" customHeight="1" x14ac:dyDescent="0.25">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row>
    <row r="582" spans="1:26" ht="14.25" customHeight="1" x14ac:dyDescent="0.25">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row>
    <row r="583" spans="1:26" ht="14.25" customHeight="1" x14ac:dyDescent="0.25">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row>
    <row r="584" spans="1:26" ht="14.25" customHeight="1" x14ac:dyDescent="0.25">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row>
    <row r="585" spans="1:26" ht="14.25" customHeight="1" x14ac:dyDescent="0.2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row>
    <row r="586" spans="1:26" ht="14.25" customHeight="1" x14ac:dyDescent="0.25">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row>
    <row r="587" spans="1:26" ht="14.25" customHeight="1" x14ac:dyDescent="0.25">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row>
    <row r="588" spans="1:26" ht="14.25" customHeight="1" x14ac:dyDescent="0.25">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row>
    <row r="589" spans="1:26" ht="14.25" customHeight="1" x14ac:dyDescent="0.25">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row>
    <row r="590" spans="1:26" ht="14.25" customHeight="1" x14ac:dyDescent="0.25">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row>
    <row r="591" spans="1:26" ht="14.25" customHeight="1" x14ac:dyDescent="0.25">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row>
    <row r="592" spans="1:26" ht="14.25" customHeight="1" x14ac:dyDescent="0.25">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row>
    <row r="593" spans="1:26" ht="14.25" customHeight="1" x14ac:dyDescent="0.25">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row>
    <row r="594" spans="1:26" ht="14.25" customHeight="1" x14ac:dyDescent="0.25">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row>
    <row r="595" spans="1:26" ht="14.25" customHeight="1" x14ac:dyDescent="0.2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row>
    <row r="596" spans="1:26" ht="14.25" customHeight="1" x14ac:dyDescent="0.25">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row>
    <row r="597" spans="1:26" ht="14.25" customHeight="1" x14ac:dyDescent="0.25">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row>
    <row r="598" spans="1:26" ht="14.25" customHeight="1" x14ac:dyDescent="0.25">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row>
    <row r="599" spans="1:26" ht="14.25" customHeight="1" x14ac:dyDescent="0.25">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row>
    <row r="600" spans="1:26" ht="14.25" customHeight="1" x14ac:dyDescent="0.25">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row>
    <row r="601" spans="1:26" ht="14.25" customHeight="1" x14ac:dyDescent="0.25">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row>
    <row r="602" spans="1:26" ht="14.25" customHeight="1" x14ac:dyDescent="0.25">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row>
    <row r="603" spans="1:26" ht="14.25" customHeight="1" x14ac:dyDescent="0.25">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row>
    <row r="604" spans="1:26" ht="14.25" customHeight="1" x14ac:dyDescent="0.25">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row>
    <row r="605" spans="1:26" ht="14.25" customHeight="1" x14ac:dyDescent="0.2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row>
    <row r="606" spans="1:26" ht="14.25" customHeight="1" x14ac:dyDescent="0.25">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row>
    <row r="607" spans="1:26" ht="14.25" customHeight="1" x14ac:dyDescent="0.25">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row>
    <row r="608" spans="1:26" ht="14.25" customHeight="1" x14ac:dyDescent="0.25">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row>
    <row r="609" spans="1:26" ht="14.25" customHeight="1" x14ac:dyDescent="0.25">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row>
    <row r="610" spans="1:26" ht="14.25" customHeight="1" x14ac:dyDescent="0.25">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row>
    <row r="611" spans="1:26" ht="14.25" customHeight="1" x14ac:dyDescent="0.25">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row>
    <row r="612" spans="1:26" ht="14.25" customHeight="1" x14ac:dyDescent="0.25">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row>
    <row r="613" spans="1:26" ht="14.25" customHeight="1" x14ac:dyDescent="0.25">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row>
    <row r="614" spans="1:26" ht="14.25" customHeight="1" x14ac:dyDescent="0.25">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row>
    <row r="615" spans="1:26" ht="14.25" customHeight="1" x14ac:dyDescent="0.2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row>
    <row r="616" spans="1:26" ht="14.25" customHeight="1" x14ac:dyDescent="0.25">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row>
    <row r="617" spans="1:26" ht="14.25" customHeight="1" x14ac:dyDescent="0.25">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row>
    <row r="618" spans="1:26" ht="14.25" customHeight="1" x14ac:dyDescent="0.25">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row>
    <row r="619" spans="1:26" ht="14.25" customHeight="1" x14ac:dyDescent="0.25">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row>
    <row r="620" spans="1:26" ht="14.25" customHeight="1" x14ac:dyDescent="0.25">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row>
    <row r="621" spans="1:26" ht="14.25" customHeight="1" x14ac:dyDescent="0.25">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row>
    <row r="622" spans="1:26" ht="14.25" customHeight="1" x14ac:dyDescent="0.25">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row>
    <row r="623" spans="1:26" ht="14.25" customHeight="1" x14ac:dyDescent="0.25">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row>
    <row r="624" spans="1:26" ht="14.25" customHeight="1" x14ac:dyDescent="0.25">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row>
    <row r="625" spans="1:26" ht="14.25" customHeight="1" x14ac:dyDescent="0.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row>
    <row r="626" spans="1:26" ht="14.25" customHeight="1" x14ac:dyDescent="0.25">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row>
    <row r="627" spans="1:26" ht="14.25" customHeight="1" x14ac:dyDescent="0.25">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row>
    <row r="628" spans="1:26" ht="14.25" customHeight="1" x14ac:dyDescent="0.25">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row>
    <row r="629" spans="1:26" ht="14.25" customHeight="1" x14ac:dyDescent="0.25">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row>
    <row r="630" spans="1:26" ht="14.25" customHeight="1" x14ac:dyDescent="0.25">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row>
    <row r="631" spans="1:26" ht="14.25" customHeight="1" x14ac:dyDescent="0.25">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row>
    <row r="632" spans="1:26" ht="14.25" customHeight="1" x14ac:dyDescent="0.25">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row>
    <row r="633" spans="1:26" ht="14.25" customHeight="1" x14ac:dyDescent="0.25">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row>
    <row r="634" spans="1:26" ht="14.25" customHeight="1" x14ac:dyDescent="0.25">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row>
    <row r="635" spans="1:26" ht="14.25" customHeight="1" x14ac:dyDescent="0.2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row>
    <row r="636" spans="1:26" ht="14.25" customHeight="1" x14ac:dyDescent="0.25">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row>
    <row r="637" spans="1:26" ht="14.25" customHeight="1" x14ac:dyDescent="0.25">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row>
    <row r="638" spans="1:26" ht="14.25" customHeight="1" x14ac:dyDescent="0.25">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row>
    <row r="639" spans="1:26" ht="14.25" customHeight="1" x14ac:dyDescent="0.25">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row>
    <row r="640" spans="1:26" ht="14.25" customHeight="1" x14ac:dyDescent="0.25">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row>
    <row r="641" spans="1:26" ht="14.25" customHeight="1" x14ac:dyDescent="0.25">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row>
    <row r="642" spans="1:26" ht="14.25" customHeight="1" x14ac:dyDescent="0.25">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row>
    <row r="643" spans="1:26" ht="14.25" customHeight="1" x14ac:dyDescent="0.25">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row>
    <row r="644" spans="1:26" ht="14.25" customHeight="1" x14ac:dyDescent="0.25">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row>
    <row r="645" spans="1:26" ht="14.25" customHeight="1" x14ac:dyDescent="0.2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row>
    <row r="646" spans="1:26" ht="14.25" customHeight="1" x14ac:dyDescent="0.25">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row>
    <row r="647" spans="1:26" ht="14.25" customHeight="1" x14ac:dyDescent="0.25">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row>
    <row r="648" spans="1:26" ht="14.25" customHeight="1" x14ac:dyDescent="0.25">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row>
    <row r="649" spans="1:26" ht="14.25" customHeight="1" x14ac:dyDescent="0.25">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row>
    <row r="650" spans="1:26" ht="14.25" customHeight="1" x14ac:dyDescent="0.25">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row>
    <row r="651" spans="1:26" ht="14.25" customHeight="1" x14ac:dyDescent="0.25">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row>
    <row r="652" spans="1:26" ht="14.25" customHeight="1" x14ac:dyDescent="0.25">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row>
    <row r="653" spans="1:26" ht="14.25" customHeight="1" x14ac:dyDescent="0.25">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row>
    <row r="654" spans="1:26" ht="14.25" customHeight="1" x14ac:dyDescent="0.25">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row>
    <row r="655" spans="1:26" ht="14.25" customHeight="1" x14ac:dyDescent="0.2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row>
    <row r="656" spans="1:26" ht="14.25" customHeight="1" x14ac:dyDescent="0.25">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row>
    <row r="657" spans="1:26" ht="14.25" customHeight="1" x14ac:dyDescent="0.25">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row>
    <row r="658" spans="1:26" ht="14.25" customHeight="1" x14ac:dyDescent="0.25">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row>
    <row r="659" spans="1:26" ht="14.25" customHeight="1" x14ac:dyDescent="0.25">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row>
    <row r="660" spans="1:26" ht="14.25" customHeight="1" x14ac:dyDescent="0.25">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row>
    <row r="661" spans="1:26" ht="14.25" customHeight="1" x14ac:dyDescent="0.25">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row>
    <row r="662" spans="1:26" ht="14.25" customHeight="1" x14ac:dyDescent="0.25">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row>
    <row r="663" spans="1:26" ht="14.25" customHeight="1" x14ac:dyDescent="0.25">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row>
    <row r="664" spans="1:26" ht="14.25" customHeight="1" x14ac:dyDescent="0.25">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row>
    <row r="665" spans="1:26" ht="14.25" customHeight="1" x14ac:dyDescent="0.2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row>
    <row r="666" spans="1:26" ht="14.25" customHeight="1" x14ac:dyDescent="0.25">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row>
    <row r="667" spans="1:26" ht="14.25" customHeight="1" x14ac:dyDescent="0.25">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row>
    <row r="668" spans="1:26" ht="14.25" customHeight="1" x14ac:dyDescent="0.25">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row>
    <row r="669" spans="1:26" ht="14.25" customHeight="1" x14ac:dyDescent="0.25">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row>
    <row r="670" spans="1:26" ht="14.25" customHeight="1" x14ac:dyDescent="0.25">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row>
    <row r="671" spans="1:26" ht="14.25" customHeight="1" x14ac:dyDescent="0.25">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row>
    <row r="672" spans="1:26" ht="14.25" customHeight="1" x14ac:dyDescent="0.25">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row>
    <row r="673" spans="1:26" ht="14.25" customHeight="1" x14ac:dyDescent="0.25">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row>
    <row r="674" spans="1:26" ht="14.25" customHeight="1" x14ac:dyDescent="0.25">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row>
    <row r="675" spans="1:26" ht="14.25" customHeight="1" x14ac:dyDescent="0.2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row>
    <row r="676" spans="1:26" ht="14.25" customHeight="1" x14ac:dyDescent="0.25">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row>
    <row r="677" spans="1:26" ht="14.25" customHeight="1" x14ac:dyDescent="0.25">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row>
    <row r="678" spans="1:26" ht="14.25" customHeight="1" x14ac:dyDescent="0.25">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row>
    <row r="679" spans="1:26" ht="14.25" customHeight="1" x14ac:dyDescent="0.25">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row>
    <row r="680" spans="1:26" ht="14.25" customHeight="1" x14ac:dyDescent="0.25">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row>
    <row r="681" spans="1:26" ht="14.25" customHeight="1" x14ac:dyDescent="0.25">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row>
    <row r="682" spans="1:26" ht="14.25" customHeight="1" x14ac:dyDescent="0.25">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row>
    <row r="683" spans="1:26" ht="14.25" customHeight="1" x14ac:dyDescent="0.25">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row>
    <row r="684" spans="1:26" ht="14.25" customHeight="1" x14ac:dyDescent="0.25">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row>
    <row r="685" spans="1:26" ht="14.25" customHeight="1" x14ac:dyDescent="0.2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row>
    <row r="686" spans="1:26" ht="14.25" customHeight="1" x14ac:dyDescent="0.25">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row>
    <row r="687" spans="1:26" ht="14.25" customHeight="1" x14ac:dyDescent="0.25">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row>
    <row r="688" spans="1:26" ht="14.25" customHeight="1" x14ac:dyDescent="0.25">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row>
    <row r="689" spans="1:26" ht="14.25" customHeight="1" x14ac:dyDescent="0.25">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row>
    <row r="690" spans="1:26" ht="14.25" customHeight="1" x14ac:dyDescent="0.25">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row>
    <row r="691" spans="1:26" ht="14.25" customHeight="1" x14ac:dyDescent="0.25">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row>
    <row r="692" spans="1:26" ht="14.25" customHeight="1" x14ac:dyDescent="0.25">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row>
    <row r="693" spans="1:26" ht="14.25" customHeight="1" x14ac:dyDescent="0.25">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row>
    <row r="694" spans="1:26" ht="14.25" customHeight="1" x14ac:dyDescent="0.25">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row>
    <row r="695" spans="1:26" ht="14.25" customHeight="1" x14ac:dyDescent="0.2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row>
    <row r="696" spans="1:26" ht="14.25" customHeight="1" x14ac:dyDescent="0.25">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row>
    <row r="697" spans="1:26" ht="14.25" customHeight="1" x14ac:dyDescent="0.25">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row>
    <row r="698" spans="1:26" ht="14.25" customHeight="1" x14ac:dyDescent="0.25">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row>
    <row r="699" spans="1:26" ht="14.25" customHeight="1" x14ac:dyDescent="0.25">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row>
    <row r="700" spans="1:26" ht="14.25" customHeight="1" x14ac:dyDescent="0.25">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row>
    <row r="701" spans="1:26" ht="14.25" customHeight="1" x14ac:dyDescent="0.25">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row>
    <row r="702" spans="1:26" ht="14.25" customHeight="1" x14ac:dyDescent="0.25">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row>
    <row r="703" spans="1:26" ht="14.25" customHeight="1" x14ac:dyDescent="0.25">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row>
    <row r="704" spans="1:26" ht="14.25" customHeight="1" x14ac:dyDescent="0.25">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row>
    <row r="705" spans="1:26" ht="14.25" customHeight="1" x14ac:dyDescent="0.2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row>
    <row r="706" spans="1:26" ht="14.25" customHeight="1" x14ac:dyDescent="0.25">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row>
    <row r="707" spans="1:26" ht="14.25" customHeight="1" x14ac:dyDescent="0.25">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row>
    <row r="708" spans="1:26" ht="14.25" customHeight="1" x14ac:dyDescent="0.25">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row>
    <row r="709" spans="1:26" ht="14.25" customHeight="1" x14ac:dyDescent="0.25">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row>
    <row r="710" spans="1:26" ht="14.25" customHeight="1" x14ac:dyDescent="0.25">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row>
    <row r="711" spans="1:26" ht="14.25" customHeight="1" x14ac:dyDescent="0.25">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row>
    <row r="712" spans="1:26" ht="14.25" customHeight="1" x14ac:dyDescent="0.25">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row>
    <row r="713" spans="1:26" ht="14.25" customHeight="1" x14ac:dyDescent="0.25">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row>
    <row r="714" spans="1:26" ht="14.25" customHeight="1" x14ac:dyDescent="0.25">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row>
    <row r="715" spans="1:26" ht="14.25" customHeight="1" x14ac:dyDescent="0.2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row>
    <row r="716" spans="1:26" ht="14.25" customHeight="1" x14ac:dyDescent="0.25">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row>
    <row r="717" spans="1:26" ht="14.25" customHeight="1" x14ac:dyDescent="0.25">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row>
    <row r="718" spans="1:26" ht="14.25" customHeight="1" x14ac:dyDescent="0.25">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row>
    <row r="719" spans="1:26" ht="14.25" customHeight="1" x14ac:dyDescent="0.25">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row>
    <row r="720" spans="1:26" ht="14.25" customHeight="1" x14ac:dyDescent="0.25">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row>
    <row r="721" spans="1:26" ht="14.25" customHeight="1" x14ac:dyDescent="0.25">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row>
    <row r="722" spans="1:26" ht="14.25" customHeight="1" x14ac:dyDescent="0.25">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row>
    <row r="723" spans="1:26" ht="14.25" customHeight="1" x14ac:dyDescent="0.25">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row>
    <row r="724" spans="1:26" ht="14.25" customHeight="1" x14ac:dyDescent="0.25">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row>
    <row r="725" spans="1:26" ht="14.25" customHeight="1" x14ac:dyDescent="0.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row>
    <row r="726" spans="1:26" ht="14.25" customHeight="1" x14ac:dyDescent="0.25">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row>
    <row r="727" spans="1:26" ht="14.25" customHeight="1" x14ac:dyDescent="0.25">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row>
    <row r="728" spans="1:26" ht="14.25" customHeight="1" x14ac:dyDescent="0.25">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row>
    <row r="729" spans="1:26" ht="14.25" customHeight="1" x14ac:dyDescent="0.25">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row>
    <row r="730" spans="1:26" ht="14.25" customHeight="1" x14ac:dyDescent="0.25">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row>
    <row r="731" spans="1:26" ht="14.25" customHeight="1" x14ac:dyDescent="0.25">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row>
    <row r="732" spans="1:26" ht="14.25" customHeight="1" x14ac:dyDescent="0.25">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row>
    <row r="733" spans="1:26" ht="14.25" customHeight="1" x14ac:dyDescent="0.25">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row>
    <row r="734" spans="1:26" ht="14.25" customHeight="1" x14ac:dyDescent="0.25">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row>
    <row r="735" spans="1:26" ht="14.25" customHeight="1" x14ac:dyDescent="0.2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row>
    <row r="736" spans="1:26" ht="14.25" customHeight="1" x14ac:dyDescent="0.25">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row>
    <row r="737" spans="1:26" ht="14.25" customHeight="1" x14ac:dyDescent="0.25">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row>
    <row r="738" spans="1:26" ht="14.25" customHeight="1" x14ac:dyDescent="0.25">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row>
    <row r="739" spans="1:26" ht="14.25" customHeight="1" x14ac:dyDescent="0.25">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row>
    <row r="740" spans="1:26" ht="14.25" customHeight="1" x14ac:dyDescent="0.25">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row>
    <row r="741" spans="1:26" ht="14.25" customHeight="1" x14ac:dyDescent="0.25">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row>
    <row r="742" spans="1:26" ht="14.25" customHeight="1" x14ac:dyDescent="0.25">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row>
    <row r="743" spans="1:26" ht="14.25" customHeight="1" x14ac:dyDescent="0.25">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row>
    <row r="744" spans="1:26" ht="14.25" customHeight="1" x14ac:dyDescent="0.25">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row>
    <row r="745" spans="1:26" ht="14.25" customHeight="1" x14ac:dyDescent="0.2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row>
    <row r="746" spans="1:26" ht="14.25" customHeight="1" x14ac:dyDescent="0.25">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row>
    <row r="747" spans="1:26" ht="14.25" customHeight="1" x14ac:dyDescent="0.25">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row>
    <row r="748" spans="1:26" ht="14.25" customHeight="1" x14ac:dyDescent="0.25">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row>
    <row r="749" spans="1:26" ht="14.25" customHeight="1" x14ac:dyDescent="0.25">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row>
    <row r="750" spans="1:26" ht="14.25" customHeight="1" x14ac:dyDescent="0.25">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row>
    <row r="751" spans="1:26" ht="14.25" customHeight="1" x14ac:dyDescent="0.25">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row>
    <row r="752" spans="1:26" ht="14.25" customHeight="1" x14ac:dyDescent="0.25">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row>
    <row r="753" spans="1:26" ht="14.25" customHeight="1" x14ac:dyDescent="0.25">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row>
    <row r="754" spans="1:26" ht="14.25" customHeight="1" x14ac:dyDescent="0.25">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row>
    <row r="755" spans="1:26" ht="14.25" customHeight="1" x14ac:dyDescent="0.2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row>
    <row r="756" spans="1:26" ht="14.25" customHeight="1" x14ac:dyDescent="0.25">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row>
    <row r="757" spans="1:26" ht="14.25" customHeight="1" x14ac:dyDescent="0.25">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row>
    <row r="758" spans="1:26" ht="14.25" customHeight="1" x14ac:dyDescent="0.25">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row>
    <row r="759" spans="1:26" ht="14.25" customHeight="1" x14ac:dyDescent="0.25">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row>
    <row r="760" spans="1:26" ht="14.25" customHeight="1" x14ac:dyDescent="0.25">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row>
    <row r="761" spans="1:26" ht="14.25" customHeight="1" x14ac:dyDescent="0.25">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row>
    <row r="762" spans="1:26" ht="14.25" customHeight="1" x14ac:dyDescent="0.25">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row>
    <row r="763" spans="1:26" ht="14.25" customHeight="1" x14ac:dyDescent="0.25">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row>
    <row r="764" spans="1:26" ht="14.25" customHeight="1" x14ac:dyDescent="0.25">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row>
    <row r="765" spans="1:26" ht="14.25" customHeight="1" x14ac:dyDescent="0.2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row>
    <row r="766" spans="1:26" ht="14.25" customHeight="1" x14ac:dyDescent="0.25">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row>
    <row r="767" spans="1:26" ht="14.25" customHeight="1" x14ac:dyDescent="0.25">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row>
    <row r="768" spans="1:26" ht="14.25" customHeight="1" x14ac:dyDescent="0.25">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row>
    <row r="769" spans="1:26" ht="14.25" customHeight="1" x14ac:dyDescent="0.25">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row>
    <row r="770" spans="1:26" ht="14.25" customHeight="1" x14ac:dyDescent="0.25">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row>
    <row r="771" spans="1:26" ht="14.25" customHeight="1" x14ac:dyDescent="0.25">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row>
    <row r="772" spans="1:26" ht="14.25" customHeight="1" x14ac:dyDescent="0.25">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row>
    <row r="773" spans="1:26" ht="14.25" customHeight="1" x14ac:dyDescent="0.25">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row>
    <row r="774" spans="1:26" ht="14.25" customHeight="1" x14ac:dyDescent="0.25">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row>
    <row r="775" spans="1:26" ht="14.25" customHeight="1" x14ac:dyDescent="0.2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row>
    <row r="776" spans="1:26" ht="14.25" customHeight="1" x14ac:dyDescent="0.25">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row>
    <row r="777" spans="1:26" ht="14.25" customHeight="1" x14ac:dyDescent="0.25">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row>
    <row r="778" spans="1:26" ht="14.25" customHeight="1" x14ac:dyDescent="0.25">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row>
    <row r="779" spans="1:26" ht="14.25" customHeight="1" x14ac:dyDescent="0.25">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row>
    <row r="780" spans="1:26" ht="14.25" customHeight="1" x14ac:dyDescent="0.25">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row>
    <row r="781" spans="1:26" ht="14.25" customHeight="1" x14ac:dyDescent="0.25">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row>
    <row r="782" spans="1:26" ht="14.25" customHeight="1" x14ac:dyDescent="0.25">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row>
    <row r="783" spans="1:26" ht="14.25" customHeight="1" x14ac:dyDescent="0.25">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row>
    <row r="784" spans="1:26" ht="14.25" customHeight="1" x14ac:dyDescent="0.25">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row>
    <row r="785" spans="1:26" ht="14.25" customHeight="1" x14ac:dyDescent="0.2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row>
    <row r="786" spans="1:26" ht="14.25" customHeight="1" x14ac:dyDescent="0.25">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row>
    <row r="787" spans="1:26" ht="14.25" customHeight="1" x14ac:dyDescent="0.25">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row>
    <row r="788" spans="1:26" ht="14.25" customHeight="1" x14ac:dyDescent="0.25">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row>
    <row r="789" spans="1:26" ht="14.25" customHeight="1" x14ac:dyDescent="0.25">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row>
    <row r="790" spans="1:26" ht="14.25" customHeight="1" x14ac:dyDescent="0.25">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row>
    <row r="791" spans="1:26" ht="14.25" customHeight="1" x14ac:dyDescent="0.25">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row>
    <row r="792" spans="1:26" ht="14.25" customHeight="1" x14ac:dyDescent="0.25">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row>
    <row r="793" spans="1:26" ht="14.25" customHeight="1" x14ac:dyDescent="0.25">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row>
    <row r="794" spans="1:26" ht="14.25" customHeight="1" x14ac:dyDescent="0.25">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row>
    <row r="795" spans="1:26" ht="14.25" customHeight="1" x14ac:dyDescent="0.2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row>
    <row r="796" spans="1:26" ht="14.25" customHeight="1" x14ac:dyDescent="0.25">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row>
    <row r="797" spans="1:26" ht="14.25" customHeight="1" x14ac:dyDescent="0.25">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row>
    <row r="798" spans="1:26" ht="14.25" customHeight="1" x14ac:dyDescent="0.25">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row>
    <row r="799" spans="1:26" ht="14.25" customHeight="1" x14ac:dyDescent="0.25">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row>
    <row r="800" spans="1:26" ht="14.25" customHeight="1" x14ac:dyDescent="0.25">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row>
    <row r="801" spans="1:26" ht="14.25" customHeight="1" x14ac:dyDescent="0.25">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row>
    <row r="802" spans="1:26" ht="14.25" customHeight="1" x14ac:dyDescent="0.25">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row>
    <row r="803" spans="1:26" ht="14.25" customHeight="1" x14ac:dyDescent="0.25">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row>
    <row r="804" spans="1:26" ht="14.25" customHeight="1" x14ac:dyDescent="0.25">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row>
    <row r="805" spans="1:26" ht="14.25" customHeight="1" x14ac:dyDescent="0.2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row>
    <row r="806" spans="1:26" ht="14.25" customHeight="1" x14ac:dyDescent="0.25">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row>
    <row r="807" spans="1:26" ht="14.25" customHeight="1" x14ac:dyDescent="0.25">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row>
    <row r="808" spans="1:26" ht="14.25" customHeight="1" x14ac:dyDescent="0.25">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row>
    <row r="809" spans="1:26" ht="14.25" customHeight="1" x14ac:dyDescent="0.25">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row>
    <row r="810" spans="1:26" ht="14.25" customHeight="1" x14ac:dyDescent="0.25">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row>
    <row r="811" spans="1:26" ht="14.25" customHeight="1" x14ac:dyDescent="0.25">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row>
    <row r="812" spans="1:26" ht="14.25" customHeight="1" x14ac:dyDescent="0.25">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row>
    <row r="813" spans="1:26" ht="14.25" customHeight="1" x14ac:dyDescent="0.25">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row>
    <row r="814" spans="1:26" ht="14.25" customHeight="1" x14ac:dyDescent="0.25">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row>
    <row r="815" spans="1:26" ht="14.25" customHeight="1" x14ac:dyDescent="0.2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row>
    <row r="816" spans="1:26" ht="14.25" customHeight="1" x14ac:dyDescent="0.25">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row>
    <row r="817" spans="1:26" ht="14.25" customHeight="1" x14ac:dyDescent="0.25">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row>
    <row r="818" spans="1:26" ht="14.25" customHeight="1" x14ac:dyDescent="0.25">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row>
    <row r="819" spans="1:26" ht="14.25" customHeight="1" x14ac:dyDescent="0.25">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row>
    <row r="820" spans="1:26" ht="14.25" customHeight="1" x14ac:dyDescent="0.25">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row>
    <row r="821" spans="1:26" ht="14.25" customHeight="1" x14ac:dyDescent="0.25">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row>
    <row r="822" spans="1:26" ht="14.25" customHeight="1" x14ac:dyDescent="0.25">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row>
    <row r="823" spans="1:26" ht="14.25" customHeight="1" x14ac:dyDescent="0.25">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row>
    <row r="824" spans="1:26" ht="14.25" customHeight="1" x14ac:dyDescent="0.25">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row>
    <row r="825" spans="1:26" ht="14.25" customHeight="1" x14ac:dyDescent="0.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row>
    <row r="826" spans="1:26" ht="14.25" customHeight="1" x14ac:dyDescent="0.25">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row>
    <row r="827" spans="1:26" ht="14.25" customHeight="1" x14ac:dyDescent="0.25">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row>
    <row r="828" spans="1:26" ht="14.25" customHeight="1" x14ac:dyDescent="0.25">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row>
    <row r="829" spans="1:26" ht="14.25" customHeight="1" x14ac:dyDescent="0.25">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row>
    <row r="830" spans="1:26" ht="14.25" customHeight="1" x14ac:dyDescent="0.25">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row>
    <row r="831" spans="1:26" ht="14.25" customHeight="1" x14ac:dyDescent="0.25">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row>
    <row r="832" spans="1:26" ht="14.25" customHeight="1" x14ac:dyDescent="0.25">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row>
    <row r="833" spans="1:26" ht="14.25" customHeight="1" x14ac:dyDescent="0.25">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row>
    <row r="834" spans="1:26" ht="14.25" customHeight="1" x14ac:dyDescent="0.25">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row>
    <row r="835" spans="1:26" ht="14.25" customHeight="1" x14ac:dyDescent="0.2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row>
    <row r="836" spans="1:26" ht="14.25" customHeight="1" x14ac:dyDescent="0.25">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row>
    <row r="837" spans="1:26" ht="14.25" customHeight="1" x14ac:dyDescent="0.25">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row>
    <row r="838" spans="1:26" ht="14.25" customHeight="1" x14ac:dyDescent="0.25">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row>
    <row r="839" spans="1:26" ht="14.25" customHeight="1" x14ac:dyDescent="0.25">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row>
    <row r="840" spans="1:26" ht="14.25" customHeight="1" x14ac:dyDescent="0.25">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row>
    <row r="841" spans="1:26" ht="14.25" customHeight="1" x14ac:dyDescent="0.25">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row>
    <row r="842" spans="1:26" ht="14.25" customHeight="1" x14ac:dyDescent="0.25">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row>
    <row r="843" spans="1:26" ht="14.25" customHeight="1" x14ac:dyDescent="0.25">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row>
    <row r="844" spans="1:26" ht="14.25" customHeight="1" x14ac:dyDescent="0.25">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row>
    <row r="845" spans="1:26" ht="14.25" customHeight="1" x14ac:dyDescent="0.2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row>
    <row r="846" spans="1:26" ht="14.25" customHeight="1" x14ac:dyDescent="0.25">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row>
    <row r="847" spans="1:26" ht="14.25" customHeight="1" x14ac:dyDescent="0.25">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row>
    <row r="848" spans="1:26" ht="14.25" customHeight="1" x14ac:dyDescent="0.25">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row>
    <row r="849" spans="1:26" ht="14.25" customHeight="1" x14ac:dyDescent="0.25">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row>
    <row r="850" spans="1:26" ht="14.25" customHeight="1" x14ac:dyDescent="0.25">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row>
    <row r="851" spans="1:26" ht="14.25" customHeight="1" x14ac:dyDescent="0.25">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row>
    <row r="852" spans="1:26" ht="14.25" customHeight="1" x14ac:dyDescent="0.25">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row>
    <row r="853" spans="1:26" ht="14.25" customHeight="1" x14ac:dyDescent="0.25">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row>
    <row r="854" spans="1:26" ht="14.25" customHeight="1" x14ac:dyDescent="0.25">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row>
    <row r="855" spans="1:26" ht="14.25" customHeight="1" x14ac:dyDescent="0.2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row>
    <row r="856" spans="1:26" ht="14.25" customHeight="1" x14ac:dyDescent="0.25">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row>
    <row r="857" spans="1:26" ht="14.25" customHeight="1" x14ac:dyDescent="0.25">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row>
    <row r="858" spans="1:26" ht="14.25" customHeight="1" x14ac:dyDescent="0.25">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row>
    <row r="859" spans="1:26" ht="14.25" customHeight="1" x14ac:dyDescent="0.25">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row>
    <row r="860" spans="1:26" ht="14.25" customHeight="1" x14ac:dyDescent="0.25">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row>
    <row r="861" spans="1:26" ht="14.25" customHeight="1" x14ac:dyDescent="0.25">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row>
    <row r="862" spans="1:26" ht="14.25" customHeight="1" x14ac:dyDescent="0.25">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row>
    <row r="863" spans="1:26" ht="14.25" customHeight="1" x14ac:dyDescent="0.25">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row>
    <row r="864" spans="1:26" ht="14.25" customHeight="1" x14ac:dyDescent="0.25">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row>
    <row r="865" spans="1:26" ht="14.25" customHeight="1" x14ac:dyDescent="0.2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row>
    <row r="866" spans="1:26" ht="14.25" customHeight="1" x14ac:dyDescent="0.25">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row>
    <row r="867" spans="1:26" ht="14.25" customHeight="1" x14ac:dyDescent="0.25">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row>
    <row r="868" spans="1:26" ht="14.25" customHeight="1" x14ac:dyDescent="0.25">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row>
    <row r="869" spans="1:26" ht="14.25" customHeight="1" x14ac:dyDescent="0.25">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row>
    <row r="870" spans="1:26" ht="14.25" customHeight="1" x14ac:dyDescent="0.25">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row>
    <row r="871" spans="1:26" ht="14.25" customHeight="1" x14ac:dyDescent="0.25">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row>
    <row r="872" spans="1:26" ht="14.25" customHeight="1" x14ac:dyDescent="0.25">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row>
    <row r="873" spans="1:26" ht="14.25" customHeight="1" x14ac:dyDescent="0.25">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row>
    <row r="874" spans="1:26" ht="14.25" customHeight="1" x14ac:dyDescent="0.25">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row>
    <row r="875" spans="1:26" ht="14.25" customHeight="1" x14ac:dyDescent="0.2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row>
    <row r="876" spans="1:26" ht="14.25" customHeight="1" x14ac:dyDescent="0.25">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row>
    <row r="877" spans="1:26" ht="14.25" customHeight="1" x14ac:dyDescent="0.25">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row>
    <row r="878" spans="1:26" ht="14.25" customHeight="1" x14ac:dyDescent="0.25">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row>
    <row r="879" spans="1:26" ht="14.25" customHeight="1" x14ac:dyDescent="0.25">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row>
    <row r="880" spans="1:26" ht="14.25" customHeight="1" x14ac:dyDescent="0.25">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row>
    <row r="881" spans="1:26" ht="14.25" customHeight="1" x14ac:dyDescent="0.25">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row>
    <row r="882" spans="1:26" ht="14.25" customHeight="1" x14ac:dyDescent="0.25">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row>
    <row r="883" spans="1:26" ht="14.25" customHeight="1" x14ac:dyDescent="0.25">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row>
    <row r="884" spans="1:26" ht="14.25" customHeight="1" x14ac:dyDescent="0.25">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row>
    <row r="885" spans="1:26" ht="14.25" customHeight="1" x14ac:dyDescent="0.2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row>
    <row r="886" spans="1:26" ht="14.25" customHeight="1" x14ac:dyDescent="0.25">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row>
    <row r="887" spans="1:26" ht="14.25" customHeight="1" x14ac:dyDescent="0.25">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row>
    <row r="888" spans="1:26" ht="14.25" customHeight="1" x14ac:dyDescent="0.25">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row>
    <row r="889" spans="1:26" ht="14.25" customHeight="1" x14ac:dyDescent="0.25">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row>
    <row r="890" spans="1:26" ht="14.25" customHeight="1" x14ac:dyDescent="0.25">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row>
    <row r="891" spans="1:26" ht="14.25" customHeight="1" x14ac:dyDescent="0.25">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row>
    <row r="892" spans="1:26" ht="14.25" customHeight="1" x14ac:dyDescent="0.25">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row>
    <row r="893" spans="1:26" ht="14.25" customHeight="1" x14ac:dyDescent="0.25">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row>
    <row r="894" spans="1:26" ht="14.25" customHeight="1" x14ac:dyDescent="0.25">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row>
    <row r="895" spans="1:26" ht="14.25" customHeight="1" x14ac:dyDescent="0.2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row>
    <row r="896" spans="1:26" ht="14.25" customHeight="1" x14ac:dyDescent="0.25">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row>
    <row r="897" spans="1:26" ht="14.25" customHeight="1" x14ac:dyDescent="0.25">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row>
    <row r="898" spans="1:26" ht="14.25" customHeight="1" x14ac:dyDescent="0.25">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row>
    <row r="899" spans="1:26" ht="14.25" customHeight="1" x14ac:dyDescent="0.25">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row>
    <row r="900" spans="1:26" ht="14.25" customHeight="1" x14ac:dyDescent="0.25">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row>
    <row r="901" spans="1:26" ht="14.25" customHeight="1" x14ac:dyDescent="0.25">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row>
    <row r="902" spans="1:26" ht="14.25" customHeight="1" x14ac:dyDescent="0.25">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row>
    <row r="903" spans="1:26" ht="14.25" customHeight="1" x14ac:dyDescent="0.25">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row>
    <row r="904" spans="1:26" ht="14.25" customHeight="1" x14ac:dyDescent="0.25">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row>
    <row r="905" spans="1:26" ht="14.25" customHeight="1" x14ac:dyDescent="0.2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row>
    <row r="906" spans="1:26" ht="14.25" customHeight="1" x14ac:dyDescent="0.25">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row>
    <row r="907" spans="1:26" ht="14.25" customHeight="1" x14ac:dyDescent="0.25">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row>
    <row r="908" spans="1:26" ht="14.25" customHeight="1" x14ac:dyDescent="0.25">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row>
    <row r="909" spans="1:26" ht="14.25" customHeight="1" x14ac:dyDescent="0.25">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row>
    <row r="910" spans="1:26" ht="14.25" customHeight="1" x14ac:dyDescent="0.25">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row>
    <row r="911" spans="1:26" ht="14.25" customHeight="1" x14ac:dyDescent="0.25">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row>
    <row r="912" spans="1:26" ht="14.25" customHeight="1" x14ac:dyDescent="0.25">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row>
    <row r="913" spans="1:26" ht="14.25" customHeight="1" x14ac:dyDescent="0.25">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row>
    <row r="914" spans="1:26" ht="14.25" customHeight="1" x14ac:dyDescent="0.25">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row>
    <row r="915" spans="1:26" ht="14.25" customHeight="1" x14ac:dyDescent="0.2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row>
    <row r="916" spans="1:26" ht="14.25" customHeight="1" x14ac:dyDescent="0.25">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row>
    <row r="917" spans="1:26" ht="14.25" customHeight="1" x14ac:dyDescent="0.25">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row>
    <row r="918" spans="1:26" ht="14.25" customHeight="1" x14ac:dyDescent="0.25">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row>
    <row r="919" spans="1:26" ht="14.25" customHeight="1" x14ac:dyDescent="0.25">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row>
    <row r="920" spans="1:26" ht="14.25" customHeight="1" x14ac:dyDescent="0.25">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row>
    <row r="921" spans="1:26" ht="14.25" customHeight="1" x14ac:dyDescent="0.25">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row>
    <row r="922" spans="1:26" ht="14.25" customHeight="1" x14ac:dyDescent="0.25">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row>
    <row r="923" spans="1:26" ht="14.25" customHeight="1" x14ac:dyDescent="0.25">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row>
    <row r="924" spans="1:26" ht="14.25" customHeight="1" x14ac:dyDescent="0.25">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row>
    <row r="925" spans="1:26" ht="14.25" customHeight="1" x14ac:dyDescent="0.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row>
    <row r="926" spans="1:26" ht="14.25" customHeight="1" x14ac:dyDescent="0.25">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row>
    <row r="927" spans="1:26" ht="14.25" customHeight="1" x14ac:dyDescent="0.25">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row>
    <row r="928" spans="1:26" ht="14.25" customHeight="1" x14ac:dyDescent="0.25">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row>
    <row r="929" spans="1:26" ht="14.25" customHeight="1" x14ac:dyDescent="0.25">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row>
    <row r="930" spans="1:26" ht="14.25" customHeight="1" x14ac:dyDescent="0.25">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row>
    <row r="931" spans="1:26" ht="14.25" customHeight="1" x14ac:dyDescent="0.25">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row>
    <row r="932" spans="1:26" ht="14.25" customHeight="1" x14ac:dyDescent="0.25">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row>
    <row r="933" spans="1:26" ht="14.25" customHeight="1" x14ac:dyDescent="0.25">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row>
    <row r="934" spans="1:26" ht="14.25" customHeight="1" x14ac:dyDescent="0.25">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row>
    <row r="935" spans="1:26" ht="14.25" customHeight="1" x14ac:dyDescent="0.2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row>
    <row r="936" spans="1:26" ht="14.25" customHeight="1" x14ac:dyDescent="0.25">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row>
    <row r="937" spans="1:26" ht="14.25" customHeight="1" x14ac:dyDescent="0.25">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row>
    <row r="938" spans="1:26" ht="14.25" customHeight="1" x14ac:dyDescent="0.25">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row>
    <row r="939" spans="1:26" ht="14.25" customHeight="1" x14ac:dyDescent="0.25">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row>
    <row r="940" spans="1:26" ht="14.25" customHeight="1" x14ac:dyDescent="0.25">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row>
    <row r="941" spans="1:26" ht="14.25" customHeight="1" x14ac:dyDescent="0.25">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row>
    <row r="942" spans="1:26" ht="14.25" customHeight="1" x14ac:dyDescent="0.25">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row>
    <row r="943" spans="1:26" ht="14.25" customHeight="1" x14ac:dyDescent="0.25">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row>
    <row r="944" spans="1:26" ht="14.25" customHeight="1" x14ac:dyDescent="0.25">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row>
    <row r="945" spans="1:26" ht="14.25" customHeight="1" x14ac:dyDescent="0.2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row>
    <row r="946" spans="1:26" ht="14.25" customHeight="1" x14ac:dyDescent="0.25">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row>
    <row r="947" spans="1:26" ht="14.25" customHeight="1" x14ac:dyDescent="0.25">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row>
    <row r="948" spans="1:26" ht="14.25" customHeight="1" x14ac:dyDescent="0.25">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row>
    <row r="949" spans="1:26" ht="14.25" customHeight="1" x14ac:dyDescent="0.25">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row>
    <row r="950" spans="1:26" ht="14.25" customHeight="1" x14ac:dyDescent="0.25">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row>
    <row r="951" spans="1:26" ht="14.25" customHeight="1" x14ac:dyDescent="0.25">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row>
    <row r="952" spans="1:26" ht="14.25" customHeight="1" x14ac:dyDescent="0.25">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row>
    <row r="953" spans="1:26" ht="14.25" customHeight="1" x14ac:dyDescent="0.25">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row>
    <row r="954" spans="1:26" ht="14.25" customHeight="1" x14ac:dyDescent="0.25">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row>
    <row r="955" spans="1:26" ht="14.25" customHeight="1" x14ac:dyDescent="0.2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row>
    <row r="956" spans="1:26" ht="14.25" customHeight="1" x14ac:dyDescent="0.25">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row>
    <row r="957" spans="1:26" ht="14.25" customHeight="1" x14ac:dyDescent="0.25">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row>
    <row r="958" spans="1:26" ht="14.25" customHeight="1" x14ac:dyDescent="0.25">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row>
    <row r="959" spans="1:26" ht="14.25" customHeight="1" x14ac:dyDescent="0.25">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row>
    <row r="960" spans="1:26" ht="14.25" customHeight="1" x14ac:dyDescent="0.25">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row>
    <row r="961" spans="1:26" ht="14.25" customHeight="1" x14ac:dyDescent="0.25">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row>
    <row r="962" spans="1:26" ht="14.25" customHeight="1" x14ac:dyDescent="0.25">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row>
    <row r="963" spans="1:26" ht="14.25" customHeight="1" x14ac:dyDescent="0.25">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row>
    <row r="964" spans="1:26" ht="14.25" customHeight="1" x14ac:dyDescent="0.25">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row>
    <row r="965" spans="1:26" ht="14.25" customHeight="1" x14ac:dyDescent="0.2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row>
    <row r="966" spans="1:26" ht="14.25" customHeight="1" x14ac:dyDescent="0.25">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row>
    <row r="967" spans="1:26" ht="14.25" customHeight="1" x14ac:dyDescent="0.25">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row>
    <row r="968" spans="1:26" ht="14.25" customHeight="1" x14ac:dyDescent="0.25">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row>
    <row r="969" spans="1:26" ht="14.25" customHeight="1" x14ac:dyDescent="0.25">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row>
    <row r="970" spans="1:26" ht="14.25" customHeight="1" x14ac:dyDescent="0.25">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row>
    <row r="971" spans="1:26" ht="14.25" customHeight="1" x14ac:dyDescent="0.25">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row>
    <row r="972" spans="1:26" ht="14.25" customHeight="1" x14ac:dyDescent="0.25">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row>
    <row r="973" spans="1:26" ht="14.25" customHeight="1" x14ac:dyDescent="0.25">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row>
    <row r="974" spans="1:26" ht="14.25" customHeight="1" x14ac:dyDescent="0.25">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row>
    <row r="975" spans="1:26" ht="14.25" customHeight="1" x14ac:dyDescent="0.2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row>
    <row r="976" spans="1:26" ht="14.25" customHeight="1" x14ac:dyDescent="0.25">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row>
    <row r="977" spans="1:26" ht="14.25" customHeight="1" x14ac:dyDescent="0.25">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row>
    <row r="978" spans="1:26" ht="14.25" customHeight="1" x14ac:dyDescent="0.25">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row>
    <row r="979" spans="1:26" ht="14.25" customHeight="1" x14ac:dyDescent="0.25">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row>
    <row r="980" spans="1:26" ht="14.25" customHeight="1" x14ac:dyDescent="0.25">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row>
    <row r="981" spans="1:26" ht="14.25" customHeight="1" x14ac:dyDescent="0.25">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row>
    <row r="982" spans="1:26" ht="14.25" customHeight="1" x14ac:dyDescent="0.25">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row>
    <row r="983" spans="1:26" ht="14.25" customHeight="1" x14ac:dyDescent="0.25">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row>
    <row r="984" spans="1:26" ht="14.25" customHeight="1" x14ac:dyDescent="0.25">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row>
    <row r="985" spans="1:26" ht="14.25" customHeight="1" x14ac:dyDescent="0.2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row>
    <row r="986" spans="1:26" ht="14.25" customHeight="1" x14ac:dyDescent="0.25">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row>
    <row r="987" spans="1:26" ht="14.25" customHeight="1" x14ac:dyDescent="0.25">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row>
    <row r="988" spans="1:26" ht="14.25" customHeight="1" x14ac:dyDescent="0.25">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row>
    <row r="989" spans="1:26" ht="14.25" customHeight="1" x14ac:dyDescent="0.25">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row>
    <row r="990" spans="1:26" ht="14.25" customHeight="1" x14ac:dyDescent="0.25">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row>
    <row r="991" spans="1:26" ht="14.25" customHeight="1" x14ac:dyDescent="0.25">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row>
    <row r="992" spans="1:26" ht="14.25" customHeight="1" x14ac:dyDescent="0.25">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row>
    <row r="993" spans="1:26" ht="14.25" customHeight="1" x14ac:dyDescent="0.25">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row>
    <row r="994" spans="1:26" ht="14.25" customHeight="1" x14ac:dyDescent="0.25">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row>
    <row r="995" spans="1:26" ht="14.25" customHeight="1" x14ac:dyDescent="0.2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row>
    <row r="996" spans="1:26" ht="14.25" customHeight="1" x14ac:dyDescent="0.25">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row>
    <row r="997" spans="1:26" ht="14.25" customHeight="1" x14ac:dyDescent="0.25">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row>
    <row r="998" spans="1:26" ht="14.25" customHeight="1" x14ac:dyDescent="0.25">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row>
    <row r="999" spans="1:26" ht="14.25" customHeight="1" x14ac:dyDescent="0.25">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row>
    <row r="1000" spans="1:26" ht="14.25" customHeight="1" x14ac:dyDescent="0.25">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row>
  </sheetData>
  <mergeCells count="1">
    <mergeCell ref="I6:L7"/>
  </mergeCells>
  <pageMargins left="0.7" right="0.7" top="0.75" bottom="0.75" header="0" footer="0"/>
  <pageSetup orientation="landscape"/>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56"/>
  <sheetViews>
    <sheetView topLeftCell="A463" workbookViewId="0">
      <selection activeCell="N36" sqref="N36"/>
    </sheetView>
  </sheetViews>
  <sheetFormatPr defaultColWidth="14.42578125" defaultRowHeight="15" customHeight="1" x14ac:dyDescent="0.25"/>
  <cols>
    <col min="1" max="1" width="43" customWidth="1"/>
    <col min="2" max="2" width="15.5703125" customWidth="1"/>
    <col min="3" max="3" width="11.28515625" customWidth="1"/>
    <col min="4" max="4" width="14.5703125" customWidth="1"/>
    <col min="5" max="5" width="22" customWidth="1"/>
    <col min="6" max="6" width="15" customWidth="1"/>
    <col min="7" max="8" width="8.7109375" customWidth="1"/>
    <col min="9" max="9" width="19.5703125" customWidth="1"/>
    <col min="10" max="26" width="8.7109375" customWidth="1"/>
  </cols>
  <sheetData>
    <row r="1" spans="1:8" x14ac:dyDescent="0.25">
      <c r="A1" s="21" t="s">
        <v>254</v>
      </c>
      <c r="B1" s="21" t="s">
        <v>255</v>
      </c>
      <c r="C1" s="21" t="s">
        <v>256</v>
      </c>
      <c r="D1" s="21" t="s">
        <v>257</v>
      </c>
      <c r="E1" s="22" t="s">
        <v>258</v>
      </c>
      <c r="F1" s="21" t="s">
        <v>259</v>
      </c>
      <c r="G1" s="21" t="s">
        <v>260</v>
      </c>
      <c r="H1" s="21" t="s">
        <v>261</v>
      </c>
    </row>
    <row r="2" spans="1:8" x14ac:dyDescent="0.25">
      <c r="A2" s="19" t="s">
        <v>96</v>
      </c>
      <c r="B2" s="19">
        <v>1056</v>
      </c>
      <c r="C2" s="19">
        <v>2</v>
      </c>
      <c r="D2" s="19">
        <v>1</v>
      </c>
      <c r="E2" s="23" t="s">
        <v>262</v>
      </c>
      <c r="F2" s="19" t="str">
        <f t="shared" ref="F2:F256" si="0">IF(B2&gt;2000,"Large",IF(B2&gt;1000,"Medium","Small"))</f>
        <v>Medium</v>
      </c>
      <c r="G2" s="19">
        <v>390700</v>
      </c>
      <c r="H2" s="19" t="str">
        <f>IF(' BENGALURU HOUSE PRICE'!$G2&lt;=500000,"Low",
IF(' BENGALURU HOUSE PRICE'!$G2&lt;=1000000,"Medium",
IF(' BENGALURU HOUSE PRICE'!$G2&lt;=3000000,"High","Luxury")))</f>
        <v>Low</v>
      </c>
    </row>
    <row r="3" spans="1:8" x14ac:dyDescent="0.25">
      <c r="A3" s="19" t="s">
        <v>263</v>
      </c>
      <c r="B3" s="19">
        <v>2600</v>
      </c>
      <c r="C3" s="19">
        <v>5</v>
      </c>
      <c r="D3" s="19">
        <v>3</v>
      </c>
      <c r="E3" s="23" t="s">
        <v>264</v>
      </c>
      <c r="F3" s="19" t="str">
        <f t="shared" si="0"/>
        <v>Large</v>
      </c>
      <c r="G3" s="19">
        <v>1200000</v>
      </c>
      <c r="H3" s="19" t="str">
        <f>IF(' BENGALURU HOUSE PRICE'!$G3&lt;=500000,"Low",
IF(' BENGALURU HOUSE PRICE'!$G3&lt;=1000000,"Medium",
IF(' BENGALURU HOUSE PRICE'!$G3&lt;=3000000,"High","Luxury")))</f>
        <v>High</v>
      </c>
    </row>
    <row r="4" spans="1:8" x14ac:dyDescent="0.25">
      <c r="A4" s="19" t="s">
        <v>24</v>
      </c>
      <c r="B4" s="19">
        <v>1440</v>
      </c>
      <c r="C4" s="19">
        <v>2</v>
      </c>
      <c r="D4" s="19">
        <v>3</v>
      </c>
      <c r="E4" s="23" t="s">
        <v>27</v>
      </c>
      <c r="F4" s="19" t="str">
        <f t="shared" si="0"/>
        <v>Medium</v>
      </c>
      <c r="G4" s="19">
        <v>620000</v>
      </c>
      <c r="H4" s="19" t="str">
        <f>IF(' BENGALURU HOUSE PRICE'!$G4&lt;=500000,"Low",
IF(' BENGALURU HOUSE PRICE'!$G4&lt;=1000000,"Medium",
IF(' BENGALURU HOUSE PRICE'!$G4&lt;=3000000,"High","Luxury")))</f>
        <v>Medium</v>
      </c>
    </row>
    <row r="5" spans="1:8" x14ac:dyDescent="0.25">
      <c r="A5" s="19" t="s">
        <v>167</v>
      </c>
      <c r="B5" s="19">
        <v>1521</v>
      </c>
      <c r="C5" s="19">
        <v>3</v>
      </c>
      <c r="D5" s="19">
        <v>1</v>
      </c>
      <c r="E5" s="23" t="s">
        <v>27</v>
      </c>
      <c r="F5" s="19" t="str">
        <f t="shared" si="0"/>
        <v>Medium</v>
      </c>
      <c r="G5" s="19">
        <v>950000</v>
      </c>
      <c r="H5" s="19" t="str">
        <f>IF(' BENGALURU HOUSE PRICE'!$G5&lt;=500000,"Low",
IF(' BENGALURU HOUSE PRICE'!$G5&lt;=1000000,"Medium",
IF(' BENGALURU HOUSE PRICE'!$G5&lt;=3000000,"High","Luxury")))</f>
        <v>Medium</v>
      </c>
    </row>
    <row r="6" spans="1:8" x14ac:dyDescent="0.25">
      <c r="A6" s="19" t="s">
        <v>159</v>
      </c>
      <c r="B6" s="19">
        <v>1200</v>
      </c>
      <c r="C6" s="19">
        <v>2</v>
      </c>
      <c r="D6" s="19">
        <v>1</v>
      </c>
      <c r="E6" s="23" t="s">
        <v>262</v>
      </c>
      <c r="F6" s="19" t="str">
        <f t="shared" si="0"/>
        <v>Medium</v>
      </c>
      <c r="G6" s="19">
        <v>510000</v>
      </c>
      <c r="H6" s="19" t="str">
        <f>IF(' BENGALURU HOUSE PRICE'!$G6&lt;=500000,"Low",
IF(' BENGALURU HOUSE PRICE'!$G6&lt;=1000000,"Medium",
IF(' BENGALURU HOUSE PRICE'!$G6&lt;=3000000,"High","Luxury")))</f>
        <v>Medium</v>
      </c>
    </row>
    <row r="7" spans="1:8" x14ac:dyDescent="0.25">
      <c r="A7" s="19" t="s">
        <v>25</v>
      </c>
      <c r="B7" s="19">
        <v>1170</v>
      </c>
      <c r="C7" s="19">
        <v>2</v>
      </c>
      <c r="D7" s="19">
        <v>1</v>
      </c>
      <c r="E7" s="23" t="s">
        <v>262</v>
      </c>
      <c r="F7" s="19" t="str">
        <f t="shared" si="0"/>
        <v>Medium</v>
      </c>
      <c r="G7" s="19">
        <v>380000</v>
      </c>
      <c r="H7" s="19" t="str">
        <f>IF(' BENGALURU HOUSE PRICE'!$G7&lt;=500000,"Low",
IF(' BENGALURU HOUSE PRICE'!$G7&lt;=1000000,"Medium",
IF(' BENGALURU HOUSE PRICE'!$G7&lt;=3000000,"High","Luxury")))</f>
        <v>Low</v>
      </c>
    </row>
    <row r="8" spans="1:8" x14ac:dyDescent="0.25">
      <c r="A8" s="19" t="s">
        <v>189</v>
      </c>
      <c r="B8" s="19">
        <v>2732</v>
      </c>
      <c r="C8" s="19">
        <v>4</v>
      </c>
      <c r="D8" s="19">
        <v>2</v>
      </c>
      <c r="E8" s="23" t="s">
        <v>264</v>
      </c>
      <c r="F8" s="19" t="str">
        <f t="shared" si="0"/>
        <v>Large</v>
      </c>
      <c r="G8" s="19">
        <v>2040000</v>
      </c>
      <c r="H8" s="19" t="str">
        <f>IF(' BENGALURU HOUSE PRICE'!$G8&lt;=500000,"Low",
IF(' BENGALURU HOUSE PRICE'!$G8&lt;=1000000,"Medium",
IF(' BENGALURU HOUSE PRICE'!$G8&lt;=3000000,"High","Luxury")))</f>
        <v>High</v>
      </c>
    </row>
    <row r="9" spans="1:8" x14ac:dyDescent="0.25">
      <c r="A9" s="19" t="s">
        <v>197</v>
      </c>
      <c r="B9" s="19">
        <v>3300</v>
      </c>
      <c r="C9" s="19">
        <v>4</v>
      </c>
      <c r="D9" s="19">
        <v>2</v>
      </c>
      <c r="E9" s="23" t="s">
        <v>264</v>
      </c>
      <c r="F9" s="19" t="str">
        <f t="shared" si="0"/>
        <v>Large</v>
      </c>
      <c r="G9" s="19">
        <v>6000000</v>
      </c>
      <c r="H9" s="19" t="str">
        <f>IF(' BENGALURU HOUSE PRICE'!$G9&lt;=500000,"Low",
IF(' BENGALURU HOUSE PRICE'!$G9&lt;=1000000,"Medium",
IF(' BENGALURU HOUSE PRICE'!$G9&lt;=3000000,"High","Luxury")))</f>
        <v>Luxury</v>
      </c>
    </row>
    <row r="10" spans="1:8" x14ac:dyDescent="0.25">
      <c r="A10" s="19" t="s">
        <v>20</v>
      </c>
      <c r="B10" s="19">
        <v>1310</v>
      </c>
      <c r="C10" s="19">
        <v>3</v>
      </c>
      <c r="D10" s="19">
        <v>1</v>
      </c>
      <c r="E10" s="23" t="s">
        <v>27</v>
      </c>
      <c r="F10" s="19" t="str">
        <f t="shared" si="0"/>
        <v>Medium</v>
      </c>
      <c r="G10" s="19">
        <v>632500</v>
      </c>
      <c r="H10" s="19" t="str">
        <f>IF(' BENGALURU HOUSE PRICE'!$G10&lt;=500000,"Low",
IF(' BENGALURU HOUSE PRICE'!$G10&lt;=1000000,"Medium",
IF(' BENGALURU HOUSE PRICE'!$G10&lt;=3000000,"High","Luxury")))</f>
        <v>Medium</v>
      </c>
    </row>
    <row r="11" spans="1:8" x14ac:dyDescent="0.25">
      <c r="A11" s="19" t="s">
        <v>265</v>
      </c>
      <c r="B11" s="19">
        <v>1020</v>
      </c>
      <c r="C11" s="19">
        <v>6</v>
      </c>
      <c r="D11" s="19">
        <v>2</v>
      </c>
      <c r="E11" s="23" t="s">
        <v>266</v>
      </c>
      <c r="F11" s="19" t="str">
        <f t="shared" si="0"/>
        <v>Medium</v>
      </c>
      <c r="G11" s="19">
        <v>3700000</v>
      </c>
      <c r="H11" s="19" t="str">
        <f>IF(' BENGALURU HOUSE PRICE'!$G11&lt;=500000,"Low",
IF(' BENGALURU HOUSE PRICE'!$G11&lt;=1000000,"Medium",
IF(' BENGALURU HOUSE PRICE'!$G11&lt;=3000000,"High","Luxury")))</f>
        <v>Luxury</v>
      </c>
    </row>
    <row r="12" spans="1:8" x14ac:dyDescent="0.25">
      <c r="A12" s="19" t="s">
        <v>25</v>
      </c>
      <c r="B12" s="19">
        <v>1800</v>
      </c>
      <c r="C12" s="19">
        <v>2</v>
      </c>
      <c r="D12" s="19">
        <v>2</v>
      </c>
      <c r="E12" s="23" t="s">
        <v>27</v>
      </c>
      <c r="F12" s="19" t="str">
        <f t="shared" si="0"/>
        <v>Medium</v>
      </c>
      <c r="G12" s="19">
        <v>700000</v>
      </c>
      <c r="H12" s="19" t="str">
        <f>IF(' BENGALURU HOUSE PRICE'!$G12&lt;=500000,"Low",
IF(' BENGALURU HOUSE PRICE'!$G12&lt;=1000000,"Medium",
IF(' BENGALURU HOUSE PRICE'!$G12&lt;=3000000,"High","Luxury")))</f>
        <v>Medium</v>
      </c>
    </row>
    <row r="13" spans="1:8" x14ac:dyDescent="0.25">
      <c r="A13" s="19" t="s">
        <v>25</v>
      </c>
      <c r="B13" s="19">
        <v>2785</v>
      </c>
      <c r="C13" s="19">
        <v>5</v>
      </c>
      <c r="D13" s="19">
        <v>3</v>
      </c>
      <c r="E13" s="23" t="s">
        <v>264</v>
      </c>
      <c r="F13" s="19" t="str">
        <f t="shared" si="0"/>
        <v>Large</v>
      </c>
      <c r="G13" s="19">
        <v>2950000</v>
      </c>
      <c r="H13" s="19" t="str">
        <f>IF(' BENGALURU HOUSE PRICE'!$G13&lt;=500000,"Low",
IF(' BENGALURU HOUSE PRICE'!$G13&lt;=1000000,"Medium",
IF(' BENGALURU HOUSE PRICE'!$G13&lt;=3000000,"High","Luxury")))</f>
        <v>High</v>
      </c>
    </row>
    <row r="14" spans="1:8" x14ac:dyDescent="0.25">
      <c r="A14" s="19" t="s">
        <v>15</v>
      </c>
      <c r="B14" s="19">
        <v>1000</v>
      </c>
      <c r="C14" s="19">
        <v>2</v>
      </c>
      <c r="D14" s="19">
        <v>1</v>
      </c>
      <c r="E14" s="23" t="s">
        <v>262</v>
      </c>
      <c r="F14" s="19" t="str">
        <f t="shared" si="0"/>
        <v>Small</v>
      </c>
      <c r="G14" s="19">
        <v>380000</v>
      </c>
      <c r="H14" s="19" t="str">
        <f>IF(' BENGALURU HOUSE PRICE'!$G14&lt;=500000,"Low",
IF(' BENGALURU HOUSE PRICE'!$G14&lt;=1000000,"Medium",
IF(' BENGALURU HOUSE PRICE'!$G14&lt;=3000000,"High","Luxury")))</f>
        <v>Low</v>
      </c>
    </row>
    <row r="15" spans="1:8" x14ac:dyDescent="0.25">
      <c r="A15" s="19" t="s">
        <v>104</v>
      </c>
      <c r="B15" s="19">
        <v>1100</v>
      </c>
      <c r="C15" s="19">
        <v>2</v>
      </c>
      <c r="D15" s="19">
        <v>2</v>
      </c>
      <c r="E15" s="23" t="s">
        <v>262</v>
      </c>
      <c r="F15" s="19" t="str">
        <f t="shared" si="0"/>
        <v>Medium</v>
      </c>
      <c r="G15" s="19">
        <v>400000</v>
      </c>
      <c r="H15" s="19" t="str">
        <f>IF(' BENGALURU HOUSE PRICE'!$G15&lt;=500000,"Low",
IF(' BENGALURU HOUSE PRICE'!$G15&lt;=1000000,"Medium",
IF(' BENGALURU HOUSE PRICE'!$G15&lt;=3000000,"High","Luxury")))</f>
        <v>Low</v>
      </c>
    </row>
    <row r="16" spans="1:8" x14ac:dyDescent="0.25">
      <c r="A16" s="19" t="s">
        <v>210</v>
      </c>
      <c r="B16" s="19">
        <v>2250</v>
      </c>
      <c r="C16" s="19">
        <v>3</v>
      </c>
      <c r="D16" s="19">
        <v>2</v>
      </c>
      <c r="E16" s="23" t="s">
        <v>27</v>
      </c>
      <c r="F16" s="19" t="str">
        <f t="shared" si="0"/>
        <v>Large</v>
      </c>
      <c r="G16" s="19">
        <v>1480000</v>
      </c>
      <c r="H16" s="19" t="str">
        <f>IF(' BENGALURU HOUSE PRICE'!$G16&lt;=500000,"Low",
IF(' BENGALURU HOUSE PRICE'!$G16&lt;=1000000,"Medium",
IF(' BENGALURU HOUSE PRICE'!$G16&lt;=3000000,"High","Luxury")))</f>
        <v>High</v>
      </c>
    </row>
    <row r="17" spans="1:8" x14ac:dyDescent="0.25">
      <c r="A17" s="19" t="s">
        <v>182</v>
      </c>
      <c r="B17" s="19">
        <v>1175</v>
      </c>
      <c r="C17" s="19">
        <v>2</v>
      </c>
      <c r="D17" s="19">
        <v>2</v>
      </c>
      <c r="E17" s="23" t="s">
        <v>262</v>
      </c>
      <c r="F17" s="19" t="str">
        <f t="shared" si="0"/>
        <v>Medium</v>
      </c>
      <c r="G17" s="19">
        <v>735000</v>
      </c>
      <c r="H17" s="19" t="str">
        <f>IF(' BENGALURU HOUSE PRICE'!$G17&lt;=500000,"Low",
IF(' BENGALURU HOUSE PRICE'!$G17&lt;=1000000,"Medium",
IF(' BENGALURU HOUSE PRICE'!$G17&lt;=3000000,"High","Luxury")))</f>
        <v>Medium</v>
      </c>
    </row>
    <row r="18" spans="1:8" x14ac:dyDescent="0.25">
      <c r="A18" s="19" t="s">
        <v>65</v>
      </c>
      <c r="B18" s="19">
        <v>1180</v>
      </c>
      <c r="C18" s="19">
        <v>3</v>
      </c>
      <c r="D18" s="19">
        <v>2</v>
      </c>
      <c r="E18" s="23" t="s">
        <v>27</v>
      </c>
      <c r="F18" s="19" t="str">
        <f t="shared" si="0"/>
        <v>Medium</v>
      </c>
      <c r="G18" s="19">
        <v>480000</v>
      </c>
      <c r="H18" s="19" t="str">
        <f>IF(' BENGALURU HOUSE PRICE'!$G18&lt;=500000,"Low",
IF(' BENGALURU HOUSE PRICE'!$G18&lt;=1000000,"Medium",
IF(' BENGALURU HOUSE PRICE'!$G18&lt;=3000000,"High","Luxury")))</f>
        <v>Low</v>
      </c>
    </row>
    <row r="19" spans="1:8" x14ac:dyDescent="0.25">
      <c r="A19" s="19" t="s">
        <v>21</v>
      </c>
      <c r="B19" s="19">
        <v>1540</v>
      </c>
      <c r="C19" s="19">
        <v>3</v>
      </c>
      <c r="D19" s="19">
        <v>3</v>
      </c>
      <c r="E19" s="23" t="s">
        <v>27</v>
      </c>
      <c r="F19" s="19" t="str">
        <f t="shared" si="0"/>
        <v>Medium</v>
      </c>
      <c r="G19" s="19">
        <v>600000</v>
      </c>
      <c r="H19" s="19" t="str">
        <f>IF(' BENGALURU HOUSE PRICE'!$G19&lt;=500000,"Low",
IF(' BENGALURU HOUSE PRICE'!$G19&lt;=1000000,"Medium",
IF(' BENGALURU HOUSE PRICE'!$G19&lt;=3000000,"High","Luxury")))</f>
        <v>Medium</v>
      </c>
    </row>
    <row r="20" spans="1:8" x14ac:dyDescent="0.25">
      <c r="A20" s="19" t="s">
        <v>199</v>
      </c>
      <c r="B20" s="19">
        <v>2770</v>
      </c>
      <c r="C20" s="19">
        <v>4</v>
      </c>
      <c r="D20" s="19">
        <v>2</v>
      </c>
      <c r="E20" s="23" t="s">
        <v>27</v>
      </c>
      <c r="F20" s="19" t="str">
        <f t="shared" si="0"/>
        <v>Large</v>
      </c>
      <c r="G20" s="19">
        <v>2900000</v>
      </c>
      <c r="H20" s="19" t="str">
        <f>IF(' BENGALURU HOUSE PRICE'!$G20&lt;=500000,"Low",
IF(' BENGALURU HOUSE PRICE'!$G20&lt;=1000000,"Medium",
IF(' BENGALURU HOUSE PRICE'!$G20&lt;=3000000,"High","Luxury")))</f>
        <v>High</v>
      </c>
    </row>
    <row r="21" spans="1:8" ht="15.75" customHeight="1" x14ac:dyDescent="0.25">
      <c r="A21" s="19" t="s">
        <v>172</v>
      </c>
      <c r="B21" s="19">
        <v>1100</v>
      </c>
      <c r="C21" s="19">
        <v>2</v>
      </c>
      <c r="D21" s="19">
        <v>2</v>
      </c>
      <c r="E21" s="23" t="s">
        <v>262</v>
      </c>
      <c r="F21" s="19" t="str">
        <f t="shared" si="0"/>
        <v>Medium</v>
      </c>
      <c r="G21" s="19">
        <v>480000</v>
      </c>
      <c r="H21" s="19" t="str">
        <f>IF(' BENGALURU HOUSE PRICE'!$G21&lt;=500000,"Low",
IF(' BENGALURU HOUSE PRICE'!$G21&lt;=1000000,"Medium",
IF(' BENGALURU HOUSE PRICE'!$G21&lt;=3000000,"High","Luxury")))</f>
        <v>Low</v>
      </c>
    </row>
    <row r="22" spans="1:8" ht="15.75" customHeight="1" x14ac:dyDescent="0.25">
      <c r="A22" s="19" t="s">
        <v>148</v>
      </c>
      <c r="B22" s="19">
        <v>600</v>
      </c>
      <c r="C22" s="19">
        <v>1</v>
      </c>
      <c r="D22" s="19">
        <v>1</v>
      </c>
      <c r="E22" s="23" t="s">
        <v>267</v>
      </c>
      <c r="F22" s="19" t="str">
        <f t="shared" si="0"/>
        <v>Small</v>
      </c>
      <c r="G22" s="19">
        <v>150000</v>
      </c>
      <c r="H22" s="19" t="str">
        <f>IF(' BENGALURU HOUSE PRICE'!$G22&lt;=500000,"Low",
IF(' BENGALURU HOUSE PRICE'!$G22&lt;=1000000,"Medium",
IF(' BENGALURU HOUSE PRICE'!$G22&lt;=3000000,"High","Luxury")))</f>
        <v>Low</v>
      </c>
    </row>
    <row r="23" spans="1:8" ht="15.75" customHeight="1" x14ac:dyDescent="0.25">
      <c r="A23" s="19" t="s">
        <v>64</v>
      </c>
      <c r="B23" s="19">
        <v>1755</v>
      </c>
      <c r="C23" s="19">
        <v>3</v>
      </c>
      <c r="D23" s="19">
        <v>1</v>
      </c>
      <c r="E23" s="23" t="s">
        <v>27</v>
      </c>
      <c r="F23" s="19" t="str">
        <f t="shared" si="0"/>
        <v>Medium</v>
      </c>
      <c r="G23" s="19">
        <v>1220000</v>
      </c>
      <c r="H23" s="19" t="str">
        <f>IF(' BENGALURU HOUSE PRICE'!$G23&lt;=500000,"Low",
IF(' BENGALURU HOUSE PRICE'!$G23&lt;=1000000,"Medium",
IF(' BENGALURU HOUSE PRICE'!$G23&lt;=3000000,"High","Luxury")))</f>
        <v>High</v>
      </c>
    </row>
    <row r="24" spans="1:8" ht="15.75" customHeight="1" x14ac:dyDescent="0.25">
      <c r="A24" s="19" t="s">
        <v>23</v>
      </c>
      <c r="B24" s="19">
        <v>2800</v>
      </c>
      <c r="C24" s="19">
        <v>5</v>
      </c>
      <c r="D24" s="19">
        <v>2</v>
      </c>
      <c r="E24" s="23" t="s">
        <v>264</v>
      </c>
      <c r="F24" s="19" t="str">
        <f t="shared" si="0"/>
        <v>Large</v>
      </c>
      <c r="G24" s="19">
        <v>3800000</v>
      </c>
      <c r="H24" s="19" t="str">
        <f>IF(' BENGALURU HOUSE PRICE'!$G24&lt;=500000,"Low",
IF(' BENGALURU HOUSE PRICE'!$G24&lt;=1000000,"Medium",
IF(' BENGALURU HOUSE PRICE'!$G24&lt;=3000000,"High","Luxury")))</f>
        <v>Luxury</v>
      </c>
    </row>
    <row r="25" spans="1:8" ht="15.75" customHeight="1" x14ac:dyDescent="0.25">
      <c r="A25" s="19" t="s">
        <v>59</v>
      </c>
      <c r="B25" s="19">
        <v>1767</v>
      </c>
      <c r="C25" s="19">
        <v>3</v>
      </c>
      <c r="D25" s="19">
        <v>1</v>
      </c>
      <c r="E25" s="23" t="s">
        <v>27</v>
      </c>
      <c r="F25" s="19" t="str">
        <f t="shared" si="0"/>
        <v>Medium</v>
      </c>
      <c r="G25" s="19">
        <v>1030000</v>
      </c>
      <c r="H25" s="19" t="str">
        <f>IF(' BENGALURU HOUSE PRICE'!$G25&lt;=500000,"Low",
IF(' BENGALURU HOUSE PRICE'!$G25&lt;=1000000,"Medium",
IF(' BENGALURU HOUSE PRICE'!$G25&lt;=3000000,"High","Luxury")))</f>
        <v>High</v>
      </c>
    </row>
    <row r="26" spans="1:8" ht="15.75" customHeight="1" x14ac:dyDescent="0.25">
      <c r="A26" s="19" t="s">
        <v>23</v>
      </c>
      <c r="B26" s="19">
        <v>510</v>
      </c>
      <c r="C26" s="19">
        <v>1</v>
      </c>
      <c r="D26" s="19">
        <v>0</v>
      </c>
      <c r="E26" s="23" t="s">
        <v>267</v>
      </c>
      <c r="F26" s="19" t="str">
        <f t="shared" si="0"/>
        <v>Small</v>
      </c>
      <c r="G26" s="19">
        <v>252500</v>
      </c>
      <c r="H26" s="19" t="str">
        <f>IF(' BENGALURU HOUSE PRICE'!$G26&lt;=500000,"Low",
IF(' BENGALURU HOUSE PRICE'!$G26&lt;=1000000,"Medium",
IF(' BENGALURU HOUSE PRICE'!$G26&lt;=3000000,"High","Luxury")))</f>
        <v>Low</v>
      </c>
    </row>
    <row r="27" spans="1:8" ht="15.75" customHeight="1" x14ac:dyDescent="0.25">
      <c r="A27" s="19" t="s">
        <v>173</v>
      </c>
      <c r="B27" s="19">
        <v>1250</v>
      </c>
      <c r="C27" s="19">
        <v>3</v>
      </c>
      <c r="D27" s="19">
        <v>2</v>
      </c>
      <c r="E27" s="23" t="s">
        <v>27</v>
      </c>
      <c r="F27" s="19" t="str">
        <f t="shared" si="0"/>
        <v>Medium</v>
      </c>
      <c r="G27" s="19">
        <v>560000</v>
      </c>
      <c r="H27" s="19" t="str">
        <f>IF(' BENGALURU HOUSE PRICE'!$G27&lt;=500000,"Low",
IF(' BENGALURU HOUSE PRICE'!$G27&lt;=1000000,"Medium",
IF(' BENGALURU HOUSE PRICE'!$G27&lt;=3000000,"High","Luxury")))</f>
        <v>Medium</v>
      </c>
    </row>
    <row r="28" spans="1:8" ht="15.75" customHeight="1" x14ac:dyDescent="0.25">
      <c r="A28" s="19" t="s">
        <v>16</v>
      </c>
      <c r="B28" s="19">
        <v>660</v>
      </c>
      <c r="C28" s="19">
        <v>1</v>
      </c>
      <c r="D28" s="19">
        <v>1</v>
      </c>
      <c r="E28" s="23" t="s">
        <v>262</v>
      </c>
      <c r="F28" s="19" t="str">
        <f t="shared" si="0"/>
        <v>Small</v>
      </c>
      <c r="G28" s="19">
        <v>231000</v>
      </c>
      <c r="H28" s="19" t="str">
        <f>IF(' BENGALURU HOUSE PRICE'!$G28&lt;=500000,"Low",
IF(' BENGALURU HOUSE PRICE'!$G28&lt;=1000000,"Medium",
IF(' BENGALURU HOUSE PRICE'!$G28&lt;=3000000,"High","Luxury")))</f>
        <v>Low</v>
      </c>
    </row>
    <row r="29" spans="1:8" ht="15.75" customHeight="1" x14ac:dyDescent="0.25">
      <c r="A29" s="19" t="s">
        <v>25</v>
      </c>
      <c r="B29" s="19">
        <v>1610</v>
      </c>
      <c r="C29" s="19">
        <v>3</v>
      </c>
      <c r="D29" s="19">
        <v>2</v>
      </c>
      <c r="E29" s="23" t="s">
        <v>27</v>
      </c>
      <c r="F29" s="19" t="str">
        <f t="shared" si="0"/>
        <v>Medium</v>
      </c>
      <c r="G29" s="19">
        <v>810000</v>
      </c>
      <c r="H29" s="19" t="str">
        <f>IF(' BENGALURU HOUSE PRICE'!$G29&lt;=500000,"Low",
IF(' BENGALURU HOUSE PRICE'!$G29&lt;=1000000,"Medium",
IF(' BENGALURU HOUSE PRICE'!$G29&lt;=3000000,"High","Luxury")))</f>
        <v>Medium</v>
      </c>
    </row>
    <row r="30" spans="1:8" ht="15.75" customHeight="1" x14ac:dyDescent="0.25">
      <c r="A30" s="19" t="s">
        <v>268</v>
      </c>
      <c r="B30" s="19">
        <v>1151</v>
      </c>
      <c r="C30" s="19">
        <v>2</v>
      </c>
      <c r="D30" s="19">
        <v>2</v>
      </c>
      <c r="E30" s="23" t="s">
        <v>262</v>
      </c>
      <c r="F30" s="19" t="str">
        <f t="shared" si="0"/>
        <v>Medium</v>
      </c>
      <c r="G30" s="19">
        <v>487700</v>
      </c>
      <c r="H30" s="19" t="str">
        <f>IF(' BENGALURU HOUSE PRICE'!$G30&lt;=500000,"Low",
IF(' BENGALURU HOUSE PRICE'!$G30&lt;=1000000,"Medium",
IF(' BENGALURU HOUSE PRICE'!$G30&lt;=3000000,"High","Luxury")))</f>
        <v>Low</v>
      </c>
    </row>
    <row r="31" spans="1:8" ht="15.75" customHeight="1" x14ac:dyDescent="0.25">
      <c r="A31" s="19" t="s">
        <v>16</v>
      </c>
      <c r="B31" s="19">
        <v>1025</v>
      </c>
      <c r="C31" s="19">
        <v>2</v>
      </c>
      <c r="D31" s="19">
        <v>1</v>
      </c>
      <c r="E31" s="23" t="s">
        <v>27</v>
      </c>
      <c r="F31" s="19" t="str">
        <f t="shared" si="0"/>
        <v>Medium</v>
      </c>
      <c r="G31" s="19">
        <v>470000</v>
      </c>
      <c r="H31" s="19" t="str">
        <f>IF(' BENGALURU HOUSE PRICE'!$G31&lt;=500000,"Low",
IF(' BENGALURU HOUSE PRICE'!$G31&lt;=1000000,"Medium",
IF(' BENGALURU HOUSE PRICE'!$G31&lt;=3000000,"High","Luxury")))</f>
        <v>Low</v>
      </c>
    </row>
    <row r="32" spans="1:8" ht="15.75" customHeight="1" x14ac:dyDescent="0.25">
      <c r="A32" s="19" t="s">
        <v>26</v>
      </c>
      <c r="B32" s="19">
        <v>1559</v>
      </c>
      <c r="C32" s="19">
        <v>4</v>
      </c>
      <c r="D32" s="19">
        <v>0</v>
      </c>
      <c r="E32" s="23" t="s">
        <v>264</v>
      </c>
      <c r="F32" s="19" t="str">
        <f t="shared" si="0"/>
        <v>Medium</v>
      </c>
      <c r="G32" s="19">
        <v>1860000</v>
      </c>
      <c r="H32" s="19" t="str">
        <f>IF(' BENGALURU HOUSE PRICE'!$G32&lt;=500000,"Low",
IF(' BENGALURU HOUSE PRICE'!$G32&lt;=1000000,"Medium",
IF(' BENGALURU HOUSE PRICE'!$G32&lt;=3000000,"High","Luxury")))</f>
        <v>High</v>
      </c>
    </row>
    <row r="33" spans="1:8" ht="15.75" customHeight="1" x14ac:dyDescent="0.25">
      <c r="A33" s="19" t="s">
        <v>65</v>
      </c>
      <c r="B33" s="19">
        <v>1075</v>
      </c>
      <c r="C33" s="19">
        <v>2</v>
      </c>
      <c r="D33" s="19">
        <v>1</v>
      </c>
      <c r="E33" s="23" t="s">
        <v>27</v>
      </c>
      <c r="F33" s="19" t="str">
        <f t="shared" si="0"/>
        <v>Medium</v>
      </c>
      <c r="G33" s="19">
        <v>350000</v>
      </c>
      <c r="H33" s="24" t="str">
        <f>IF(' BENGALURU HOUSE PRICE'!$G33&lt;=500000,"Low",
IF(' BENGALURU HOUSE PRICE'!$G33&lt;=1000000,"Medium",
IF(' BENGALURU HOUSE PRICE'!$G33&lt;=3000000,"High","Luxury")))</f>
        <v>Low</v>
      </c>
    </row>
    <row r="34" spans="1:8" ht="15.75" customHeight="1" x14ac:dyDescent="0.25">
      <c r="A34" s="19" t="s">
        <v>18</v>
      </c>
      <c r="B34" s="19">
        <v>1760</v>
      </c>
      <c r="C34" s="19">
        <v>2</v>
      </c>
      <c r="D34" s="19">
        <v>2</v>
      </c>
      <c r="E34" s="23" t="s">
        <v>27</v>
      </c>
      <c r="F34" s="19" t="str">
        <f t="shared" si="0"/>
        <v>Medium</v>
      </c>
      <c r="G34" s="19">
        <v>1230000</v>
      </c>
      <c r="H34" s="19" t="str">
        <f>IF(' BENGALURU HOUSE PRICE'!$G34&lt;=500000,"Low",
IF(' BENGALURU HOUSE PRICE'!$G34&lt;=1000000,"Medium",
IF(' BENGALURU HOUSE PRICE'!$G34&lt;=3000000,"High","Luxury")))</f>
        <v>High</v>
      </c>
    </row>
    <row r="35" spans="1:8" ht="15.75" customHeight="1" x14ac:dyDescent="0.25">
      <c r="A35" s="19" t="s">
        <v>21</v>
      </c>
      <c r="B35" s="19">
        <v>1693</v>
      </c>
      <c r="C35" s="19">
        <v>3</v>
      </c>
      <c r="D35" s="19">
        <v>3</v>
      </c>
      <c r="E35" s="23" t="s">
        <v>27</v>
      </c>
      <c r="F35" s="19" t="str">
        <f t="shared" si="0"/>
        <v>Medium</v>
      </c>
      <c r="G35" s="19">
        <v>573900</v>
      </c>
      <c r="H35" s="19" t="str">
        <f>IF(' BENGALURU HOUSE PRICE'!$G35&lt;=500000,"Low",
IF(' BENGALURU HOUSE PRICE'!$G35&lt;=1000000,"Medium",
IF(' BENGALURU HOUSE PRICE'!$G35&lt;=3000000,"High","Luxury")))</f>
        <v>Medium</v>
      </c>
    </row>
    <row r="36" spans="1:8" ht="15.75" customHeight="1" x14ac:dyDescent="0.25">
      <c r="A36" s="19" t="s">
        <v>146</v>
      </c>
      <c r="B36" s="19">
        <v>1925</v>
      </c>
      <c r="C36" s="19">
        <v>3</v>
      </c>
      <c r="D36" s="19">
        <v>2</v>
      </c>
      <c r="E36" s="23" t="s">
        <v>27</v>
      </c>
      <c r="F36" s="19" t="str">
        <f t="shared" si="0"/>
        <v>Medium</v>
      </c>
      <c r="G36" s="19">
        <v>1250000</v>
      </c>
      <c r="H36" s="19" t="str">
        <f>IF(' BENGALURU HOUSE PRICE'!$G36&lt;=500000,"Low",
IF(' BENGALURU HOUSE PRICE'!$G36&lt;=1000000,"Medium",
IF(' BENGALURU HOUSE PRICE'!$G36&lt;=3000000,"High","Luxury")))</f>
        <v>High</v>
      </c>
    </row>
    <row r="37" spans="1:8" ht="15.75" customHeight="1" x14ac:dyDescent="0.25">
      <c r="A37" s="19" t="s">
        <v>19</v>
      </c>
      <c r="B37" s="19">
        <v>700</v>
      </c>
      <c r="C37" s="19">
        <v>2</v>
      </c>
      <c r="D37" s="19">
        <v>1</v>
      </c>
      <c r="E37" s="23" t="s">
        <v>262</v>
      </c>
      <c r="F37" s="19" t="str">
        <f t="shared" si="0"/>
        <v>Small</v>
      </c>
      <c r="G37" s="19">
        <v>360000</v>
      </c>
      <c r="H37" s="19" t="str">
        <f>IF(' BENGALURU HOUSE PRICE'!$G37&lt;=500000,"Low",
IF(' BENGALURU HOUSE PRICE'!$G37&lt;=1000000,"Medium",
IF(' BENGALURU HOUSE PRICE'!$G37&lt;=3000000,"High","Luxury")))</f>
        <v>Low</v>
      </c>
    </row>
    <row r="38" spans="1:8" ht="15.75" customHeight="1" x14ac:dyDescent="0.25">
      <c r="A38" s="19" t="s">
        <v>97</v>
      </c>
      <c r="B38" s="19">
        <v>1070</v>
      </c>
      <c r="C38" s="19">
        <v>2</v>
      </c>
      <c r="D38" s="19">
        <v>1</v>
      </c>
      <c r="E38" s="23" t="s">
        <v>262</v>
      </c>
      <c r="F38" s="19" t="str">
        <f t="shared" si="0"/>
        <v>Medium</v>
      </c>
      <c r="G38" s="19">
        <v>455000</v>
      </c>
      <c r="H38" s="19" t="str">
        <f>IF(' BENGALURU HOUSE PRICE'!$G38&lt;=500000,"Low",
IF(' BENGALURU HOUSE PRICE'!$G38&lt;=1000000,"Medium",
IF(' BENGALURU HOUSE PRICE'!$G38&lt;=3000000,"High","Luxury")))</f>
        <v>Low</v>
      </c>
    </row>
    <row r="39" spans="1:8" ht="15.75" customHeight="1" x14ac:dyDescent="0.25">
      <c r="A39" s="19" t="s">
        <v>162</v>
      </c>
      <c r="B39" s="19">
        <v>1724</v>
      </c>
      <c r="C39" s="19">
        <v>3</v>
      </c>
      <c r="D39" s="19">
        <v>2</v>
      </c>
      <c r="E39" s="23" t="s">
        <v>27</v>
      </c>
      <c r="F39" s="19" t="str">
        <f t="shared" si="0"/>
        <v>Medium</v>
      </c>
      <c r="G39" s="19">
        <v>1250000</v>
      </c>
      <c r="H39" s="19" t="str">
        <f>IF(' BENGALURU HOUSE PRICE'!$G39&lt;=500000,"Low",
IF(' BENGALURU HOUSE PRICE'!$G39&lt;=1000000,"Medium",
IF(' BENGALURU HOUSE PRICE'!$G39&lt;=3000000,"High","Luxury")))</f>
        <v>High</v>
      </c>
    </row>
    <row r="40" spans="1:8" ht="15.75" customHeight="1" x14ac:dyDescent="0.25">
      <c r="A40" s="19" t="s">
        <v>78</v>
      </c>
      <c r="B40" s="19">
        <v>1290</v>
      </c>
      <c r="C40" s="19">
        <v>2</v>
      </c>
      <c r="D40" s="19">
        <v>2</v>
      </c>
      <c r="E40" s="23" t="s">
        <v>27</v>
      </c>
      <c r="F40" s="19" t="str">
        <f t="shared" si="0"/>
        <v>Medium</v>
      </c>
      <c r="G40" s="19">
        <v>561200</v>
      </c>
      <c r="H40" s="19" t="str">
        <f>IF(' BENGALURU HOUSE PRICE'!$G40&lt;=500000,"Low",
IF(' BENGALURU HOUSE PRICE'!$G40&lt;=1000000,"Medium",
IF(' BENGALURU HOUSE PRICE'!$G40&lt;=3000000,"High","Luxury")))</f>
        <v>Medium</v>
      </c>
    </row>
    <row r="41" spans="1:8" ht="15.75" customHeight="1" x14ac:dyDescent="0.25">
      <c r="A41" s="19" t="s">
        <v>24</v>
      </c>
      <c r="B41" s="19">
        <v>1143</v>
      </c>
      <c r="C41" s="19">
        <v>2</v>
      </c>
      <c r="D41" s="19">
        <v>2</v>
      </c>
      <c r="E41" s="23" t="s">
        <v>262</v>
      </c>
      <c r="F41" s="19" t="str">
        <f t="shared" si="0"/>
        <v>Medium</v>
      </c>
      <c r="G41" s="19">
        <v>450000</v>
      </c>
      <c r="H41" s="19" t="str">
        <f>IF(' BENGALURU HOUSE PRICE'!$G41&lt;=500000,"Low",
IF(' BENGALURU HOUSE PRICE'!$G41&lt;=1000000,"Medium",
IF(' BENGALURU HOUSE PRICE'!$G41&lt;=3000000,"High","Luxury")))</f>
        <v>Low</v>
      </c>
    </row>
    <row r="42" spans="1:8" ht="15.75" customHeight="1" x14ac:dyDescent="0.25">
      <c r="A42" s="19" t="s">
        <v>269</v>
      </c>
      <c r="B42" s="19">
        <v>1296</v>
      </c>
      <c r="C42" s="19">
        <v>2</v>
      </c>
      <c r="D42" s="19">
        <v>2</v>
      </c>
      <c r="E42" s="23" t="s">
        <v>262</v>
      </c>
      <c r="F42" s="19" t="str">
        <f t="shared" si="0"/>
        <v>Medium</v>
      </c>
      <c r="G42" s="19">
        <v>810000</v>
      </c>
      <c r="H42" s="19" t="str">
        <f>IF(' BENGALURU HOUSE PRICE'!$G42&lt;=500000,"Low",
IF(' BENGALURU HOUSE PRICE'!$G42&lt;=1000000,"Medium",
IF(' BENGALURU HOUSE PRICE'!$G42&lt;=3000000,"High","Luxury")))</f>
        <v>Medium</v>
      </c>
    </row>
    <row r="43" spans="1:8" ht="15.75" customHeight="1" x14ac:dyDescent="0.25">
      <c r="A43" s="19" t="s">
        <v>22</v>
      </c>
      <c r="B43" s="19">
        <v>1254</v>
      </c>
      <c r="C43" s="19">
        <v>3</v>
      </c>
      <c r="D43" s="19">
        <v>2</v>
      </c>
      <c r="E43" s="23" t="s">
        <v>27</v>
      </c>
      <c r="F43" s="19" t="str">
        <f t="shared" si="0"/>
        <v>Medium</v>
      </c>
      <c r="G43" s="19">
        <v>380000</v>
      </c>
      <c r="H43" s="19" t="str">
        <f>IF(' BENGALURU HOUSE PRICE'!$G43&lt;=500000,"Low",
IF(' BENGALURU HOUSE PRICE'!$G43&lt;=1000000,"Medium",
IF(' BENGALURU HOUSE PRICE'!$G43&lt;=3000000,"High","Luxury")))</f>
        <v>Low</v>
      </c>
    </row>
    <row r="44" spans="1:8" ht="15.75" customHeight="1" x14ac:dyDescent="0.25">
      <c r="A44" s="19" t="s">
        <v>270</v>
      </c>
      <c r="B44" s="19">
        <v>600</v>
      </c>
      <c r="C44" s="19">
        <v>1</v>
      </c>
      <c r="D44" s="19">
        <v>0</v>
      </c>
      <c r="E44" s="23" t="s">
        <v>267</v>
      </c>
      <c r="F44" s="19" t="str">
        <f t="shared" si="0"/>
        <v>Small</v>
      </c>
      <c r="G44" s="19">
        <v>380000</v>
      </c>
      <c r="H44" s="19" t="str">
        <f>IF(' BENGALURU HOUSE PRICE'!$G44&lt;=500000,"Low",
IF(' BENGALURU HOUSE PRICE'!$G44&lt;=1000000,"Medium",
IF(' BENGALURU HOUSE PRICE'!$G44&lt;=3000000,"High","Luxury")))</f>
        <v>Low</v>
      </c>
    </row>
    <row r="45" spans="1:8" ht="15.75" customHeight="1" x14ac:dyDescent="0.25">
      <c r="A45" s="19" t="s">
        <v>26</v>
      </c>
      <c r="B45" s="19">
        <v>660</v>
      </c>
      <c r="C45" s="19">
        <v>1</v>
      </c>
      <c r="D45" s="19">
        <v>0</v>
      </c>
      <c r="E45" s="23" t="s">
        <v>267</v>
      </c>
      <c r="F45" s="19" t="str">
        <f t="shared" si="0"/>
        <v>Small</v>
      </c>
      <c r="G45" s="19">
        <v>480000</v>
      </c>
      <c r="H45" s="19" t="str">
        <f>IF(' BENGALURU HOUSE PRICE'!$G45&lt;=500000,"Low",
IF(' BENGALURU HOUSE PRICE'!$G45&lt;=1000000,"Medium",
IF(' BENGALURU HOUSE PRICE'!$G45&lt;=3000000,"High","Luxury")))</f>
        <v>Low</v>
      </c>
    </row>
    <row r="46" spans="1:8" ht="15.75" customHeight="1" x14ac:dyDescent="0.25">
      <c r="A46" s="19" t="s">
        <v>19</v>
      </c>
      <c r="B46" s="19">
        <v>1331</v>
      </c>
      <c r="C46" s="19">
        <v>2</v>
      </c>
      <c r="D46" s="19">
        <v>2</v>
      </c>
      <c r="E46" s="23" t="s">
        <v>262</v>
      </c>
      <c r="F46" s="19" t="str">
        <f t="shared" si="0"/>
        <v>Medium</v>
      </c>
      <c r="G46" s="19">
        <v>917900</v>
      </c>
      <c r="H46" s="19" t="str">
        <f>IF(' BENGALURU HOUSE PRICE'!$G46&lt;=500000,"Low",
IF(' BENGALURU HOUSE PRICE'!$G46&lt;=1000000,"Medium",
IF(' BENGALURU HOUSE PRICE'!$G46&lt;=3000000,"High","Luxury")))</f>
        <v>Medium</v>
      </c>
    </row>
    <row r="47" spans="1:8" ht="15.75" customHeight="1" x14ac:dyDescent="0.25">
      <c r="A47" s="19" t="s">
        <v>122</v>
      </c>
      <c r="B47" s="19">
        <v>600</v>
      </c>
      <c r="C47" s="19">
        <v>9</v>
      </c>
      <c r="D47" s="19">
        <v>2</v>
      </c>
      <c r="E47" s="23" t="s">
        <v>271</v>
      </c>
      <c r="F47" s="19" t="str">
        <f t="shared" si="0"/>
        <v>Small</v>
      </c>
      <c r="G47" s="19">
        <v>2000000</v>
      </c>
      <c r="H47" s="19" t="str">
        <f>IF(' BENGALURU HOUSE PRICE'!$G47&lt;=500000,"Low",
IF(' BENGALURU HOUSE PRICE'!$G47&lt;=1000000,"Medium",
IF(' BENGALURU HOUSE PRICE'!$G47&lt;=3000000,"High","Luxury")))</f>
        <v>High</v>
      </c>
    </row>
    <row r="48" spans="1:8" ht="15.75" customHeight="1" x14ac:dyDescent="0.25">
      <c r="A48" s="19" t="s">
        <v>272</v>
      </c>
      <c r="B48" s="19">
        <v>970</v>
      </c>
      <c r="C48" s="19">
        <v>2</v>
      </c>
      <c r="D48" s="19">
        <v>0</v>
      </c>
      <c r="E48" s="23" t="s">
        <v>262</v>
      </c>
      <c r="F48" s="19" t="str">
        <f t="shared" si="0"/>
        <v>Small</v>
      </c>
      <c r="G48" s="19">
        <v>330000</v>
      </c>
      <c r="H48" s="19" t="str">
        <f>IF(' BENGALURU HOUSE PRICE'!$G48&lt;=500000,"Low",
IF(' BENGALURU HOUSE PRICE'!$G48&lt;=1000000,"Medium",
IF(' BENGALURU HOUSE PRICE'!$G48&lt;=3000000,"High","Luxury")))</f>
        <v>Low</v>
      </c>
    </row>
    <row r="49" spans="1:8" ht="15.75" customHeight="1" x14ac:dyDescent="0.25">
      <c r="A49" s="19" t="s">
        <v>25</v>
      </c>
      <c r="B49" s="19">
        <v>1459</v>
      </c>
      <c r="C49" s="19">
        <v>2</v>
      </c>
      <c r="D49" s="19">
        <v>1</v>
      </c>
      <c r="E49" s="23" t="s">
        <v>262</v>
      </c>
      <c r="F49" s="19" t="str">
        <f t="shared" si="0"/>
        <v>Medium</v>
      </c>
      <c r="G49" s="19">
        <v>948200</v>
      </c>
      <c r="H49" s="19" t="str">
        <f>IF(' BENGALURU HOUSE PRICE'!$G49&lt;=500000,"Low",
IF(' BENGALURU HOUSE PRICE'!$G49&lt;=1000000,"Medium",
IF(' BENGALURU HOUSE PRICE'!$G49&lt;=3000000,"High","Luxury")))</f>
        <v>Medium</v>
      </c>
    </row>
    <row r="50" spans="1:8" ht="15.75" customHeight="1" x14ac:dyDescent="0.25">
      <c r="A50" s="19" t="s">
        <v>273</v>
      </c>
      <c r="B50" s="19">
        <v>800</v>
      </c>
      <c r="C50" s="19">
        <v>1</v>
      </c>
      <c r="D50" s="19">
        <v>1</v>
      </c>
      <c r="E50" s="23" t="s">
        <v>262</v>
      </c>
      <c r="F50" s="19" t="str">
        <f t="shared" si="0"/>
        <v>Small</v>
      </c>
      <c r="G50" s="19">
        <v>1300000</v>
      </c>
      <c r="H50" s="19" t="str">
        <f>IF(' BENGALURU HOUSE PRICE'!$G50&lt;=500000,"Low",
IF(' BENGALURU HOUSE PRICE'!$G50&lt;=1000000,"Medium",
IF(' BENGALURU HOUSE PRICE'!$G50&lt;=3000000,"High","Luxury")))</f>
        <v>High</v>
      </c>
    </row>
    <row r="51" spans="1:8" ht="15.75" customHeight="1" x14ac:dyDescent="0.25">
      <c r="A51" s="19" t="s">
        <v>274</v>
      </c>
      <c r="B51" s="19">
        <v>869</v>
      </c>
      <c r="C51" s="19">
        <v>2</v>
      </c>
      <c r="D51" s="19">
        <v>1</v>
      </c>
      <c r="E51" s="23" t="s">
        <v>262</v>
      </c>
      <c r="F51" s="19" t="str">
        <f t="shared" si="0"/>
        <v>Small</v>
      </c>
      <c r="G51" s="19">
        <v>360000</v>
      </c>
      <c r="H51" s="19" t="str">
        <f>IF(' BENGALURU HOUSE PRICE'!$G51&lt;=500000,"Low",
IF(' BENGALURU HOUSE PRICE'!$G51&lt;=1000000,"Medium",
IF(' BENGALURU HOUSE PRICE'!$G51&lt;=3000000,"High","Luxury")))</f>
        <v>Low</v>
      </c>
    </row>
    <row r="52" spans="1:8" ht="15.75" customHeight="1" x14ac:dyDescent="0.25">
      <c r="A52" s="19" t="s">
        <v>275</v>
      </c>
      <c r="B52" s="19">
        <v>1270</v>
      </c>
      <c r="C52" s="19">
        <v>2</v>
      </c>
      <c r="D52" s="19">
        <v>1</v>
      </c>
      <c r="E52" s="23" t="s">
        <v>262</v>
      </c>
      <c r="F52" s="19" t="str">
        <f t="shared" si="0"/>
        <v>Medium</v>
      </c>
      <c r="G52" s="19">
        <v>500000</v>
      </c>
      <c r="H52" s="19" t="str">
        <f>IF(' BENGALURU HOUSE PRICE'!$G52&lt;=500000,"Low",
IF(' BENGALURU HOUSE PRICE'!$G52&lt;=1000000,"Medium",
IF(' BENGALURU HOUSE PRICE'!$G52&lt;=3000000,"High","Luxury")))</f>
        <v>Low</v>
      </c>
    </row>
    <row r="53" spans="1:8" ht="15.75" customHeight="1" x14ac:dyDescent="0.25">
      <c r="A53" s="19" t="s">
        <v>62</v>
      </c>
      <c r="B53" s="19">
        <v>1670</v>
      </c>
      <c r="C53" s="19">
        <v>3</v>
      </c>
      <c r="D53" s="19">
        <v>1</v>
      </c>
      <c r="E53" s="23" t="s">
        <v>27</v>
      </c>
      <c r="F53" s="19" t="str">
        <f t="shared" si="0"/>
        <v>Medium</v>
      </c>
      <c r="G53" s="19">
        <v>990000</v>
      </c>
      <c r="H53" s="19" t="str">
        <f>IF(' BENGALURU HOUSE PRICE'!$G53&lt;=500000,"Low",
IF(' BENGALURU HOUSE PRICE'!$G53&lt;=1000000,"Medium",
IF(' BENGALURU HOUSE PRICE'!$G53&lt;=3000000,"High","Luxury")))</f>
        <v>Medium</v>
      </c>
    </row>
    <row r="54" spans="1:8" ht="15.75" customHeight="1" x14ac:dyDescent="0.25">
      <c r="A54" s="19" t="s">
        <v>25</v>
      </c>
      <c r="B54" s="19">
        <v>2010</v>
      </c>
      <c r="C54" s="19">
        <v>3</v>
      </c>
      <c r="D54" s="19">
        <v>2</v>
      </c>
      <c r="E54" s="23" t="s">
        <v>27</v>
      </c>
      <c r="F54" s="19" t="str">
        <f t="shared" si="0"/>
        <v>Large</v>
      </c>
      <c r="G54" s="19">
        <v>910000</v>
      </c>
      <c r="H54" s="19" t="str">
        <f>IF(' BENGALURU HOUSE PRICE'!$G54&lt;=500000,"Low",
IF(' BENGALURU HOUSE PRICE'!$G54&lt;=1000000,"Medium",
IF(' BENGALURU HOUSE PRICE'!$G54&lt;=3000000,"High","Luxury")))</f>
        <v>Medium</v>
      </c>
    </row>
    <row r="55" spans="1:8" ht="15.75" customHeight="1" x14ac:dyDescent="0.25">
      <c r="A55" s="19" t="s">
        <v>164</v>
      </c>
      <c r="B55" s="19">
        <v>1185</v>
      </c>
      <c r="C55" s="19">
        <v>2</v>
      </c>
      <c r="D55" s="19">
        <v>2</v>
      </c>
      <c r="E55" s="23" t="s">
        <v>262</v>
      </c>
      <c r="F55" s="19" t="str">
        <f t="shared" si="0"/>
        <v>Medium</v>
      </c>
      <c r="G55" s="19">
        <v>750000</v>
      </c>
      <c r="H55" s="19" t="str">
        <f>IF(' BENGALURU HOUSE PRICE'!$G55&lt;=500000,"Low",
IF(' BENGALURU HOUSE PRICE'!$G55&lt;=1000000,"Medium",
IF(' BENGALURU HOUSE PRICE'!$G55&lt;=3000000,"High","Luxury")))</f>
        <v>Medium</v>
      </c>
    </row>
    <row r="56" spans="1:8" ht="15.75" customHeight="1" x14ac:dyDescent="0.25">
      <c r="A56" s="19" t="s">
        <v>26</v>
      </c>
      <c r="B56" s="19">
        <v>1600</v>
      </c>
      <c r="C56" s="19">
        <v>2</v>
      </c>
      <c r="D56" s="19">
        <v>3</v>
      </c>
      <c r="E56" s="23" t="s">
        <v>27</v>
      </c>
      <c r="F56" s="19" t="str">
        <f t="shared" si="0"/>
        <v>Medium</v>
      </c>
      <c r="G56" s="19">
        <v>750000</v>
      </c>
      <c r="H56" s="19" t="str">
        <f>IF(' BENGALURU HOUSE PRICE'!$G56&lt;=500000,"Low",
IF(' BENGALURU HOUSE PRICE'!$G56&lt;=1000000,"Medium",
IF(' BENGALURU HOUSE PRICE'!$G56&lt;=3000000,"High","Luxury")))</f>
        <v>Medium</v>
      </c>
    </row>
    <row r="57" spans="1:8" ht="15.75" customHeight="1" x14ac:dyDescent="0.25">
      <c r="A57" s="19" t="s">
        <v>58</v>
      </c>
      <c r="B57" s="19">
        <v>1200</v>
      </c>
      <c r="C57" s="19">
        <v>2</v>
      </c>
      <c r="D57" s="19">
        <v>2</v>
      </c>
      <c r="E57" s="23" t="s">
        <v>262</v>
      </c>
      <c r="F57" s="19" t="str">
        <f t="shared" si="0"/>
        <v>Medium</v>
      </c>
      <c r="G57" s="19">
        <v>440000</v>
      </c>
      <c r="H57" s="19" t="str">
        <f>IF(' BENGALURU HOUSE PRICE'!$G57&lt;=500000,"Low",
IF(' BENGALURU HOUSE PRICE'!$G57&lt;=1000000,"Medium",
IF(' BENGALURU HOUSE PRICE'!$G57&lt;=3000000,"High","Luxury")))</f>
        <v>Low</v>
      </c>
    </row>
    <row r="58" spans="1:8" ht="15.75" customHeight="1" x14ac:dyDescent="0.25">
      <c r="A58" s="19" t="s">
        <v>86</v>
      </c>
      <c r="B58" s="19">
        <v>1559</v>
      </c>
      <c r="C58" s="19">
        <v>2</v>
      </c>
      <c r="D58" s="19">
        <v>2</v>
      </c>
      <c r="E58" s="23" t="s">
        <v>264</v>
      </c>
      <c r="F58" s="19" t="str">
        <f t="shared" si="0"/>
        <v>Medium</v>
      </c>
      <c r="G58" s="19">
        <v>1920000</v>
      </c>
      <c r="H58" s="19" t="str">
        <f>IF(' BENGALURU HOUSE PRICE'!$G58&lt;=500000,"Low",
IF(' BENGALURU HOUSE PRICE'!$G58&lt;=1000000,"Medium",
IF(' BENGALURU HOUSE PRICE'!$G58&lt;=3000000,"High","Luxury")))</f>
        <v>High</v>
      </c>
    </row>
    <row r="59" spans="1:8" ht="15.75" customHeight="1" x14ac:dyDescent="0.25">
      <c r="A59" s="19" t="s">
        <v>199</v>
      </c>
      <c r="B59" s="19">
        <v>1500</v>
      </c>
      <c r="C59" s="19">
        <v>2</v>
      </c>
      <c r="D59" s="19">
        <v>2</v>
      </c>
      <c r="E59" s="23" t="s">
        <v>262</v>
      </c>
      <c r="F59" s="19" t="str">
        <f t="shared" si="0"/>
        <v>Medium</v>
      </c>
      <c r="G59" s="19">
        <v>1850000</v>
      </c>
      <c r="H59" s="19" t="str">
        <f>IF(' BENGALURU HOUSE PRICE'!$G59&lt;=500000,"Low",
IF(' BENGALURU HOUSE PRICE'!$G59&lt;=1000000,"Medium",
IF(' BENGALURU HOUSE PRICE'!$G59&lt;=3000000,"High","Luxury")))</f>
        <v>High</v>
      </c>
    </row>
    <row r="60" spans="1:8" ht="15.75" customHeight="1" x14ac:dyDescent="0.25">
      <c r="A60" s="19" t="s">
        <v>269</v>
      </c>
      <c r="B60" s="19">
        <v>1407</v>
      </c>
      <c r="C60" s="19">
        <v>4</v>
      </c>
      <c r="D60" s="19">
        <v>1</v>
      </c>
      <c r="E60" s="23" t="s">
        <v>266</v>
      </c>
      <c r="F60" s="19" t="str">
        <f t="shared" si="0"/>
        <v>Medium</v>
      </c>
      <c r="G60" s="19">
        <v>1500000</v>
      </c>
      <c r="H60" s="19" t="str">
        <f>IF(' BENGALURU HOUSE PRICE'!$G60&lt;=500000,"Low",
IF(' BENGALURU HOUSE PRICE'!$G60&lt;=1000000,"Medium",
IF(' BENGALURU HOUSE PRICE'!$G60&lt;=3000000,"High","Luxury")))</f>
        <v>High</v>
      </c>
    </row>
    <row r="61" spans="1:8" ht="15.75" customHeight="1" x14ac:dyDescent="0.25">
      <c r="A61" s="19" t="s">
        <v>276</v>
      </c>
      <c r="B61" s="19">
        <v>840</v>
      </c>
      <c r="C61" s="19">
        <v>2</v>
      </c>
      <c r="D61" s="19">
        <v>2</v>
      </c>
      <c r="E61" s="23" t="s">
        <v>262</v>
      </c>
      <c r="F61" s="19" t="str">
        <f t="shared" si="0"/>
        <v>Small</v>
      </c>
      <c r="G61" s="19">
        <v>450000</v>
      </c>
      <c r="H61" s="19" t="str">
        <f>IF(' BENGALURU HOUSE PRICE'!$G61&lt;=500000,"Low",
IF(' BENGALURU HOUSE PRICE'!$G61&lt;=1000000,"Medium",
IF(' BENGALURU HOUSE PRICE'!$G61&lt;=3000000,"High","Luxury")))</f>
        <v>Low</v>
      </c>
    </row>
    <row r="62" spans="1:8" ht="15.75" customHeight="1" x14ac:dyDescent="0.25">
      <c r="A62" s="19" t="s">
        <v>232</v>
      </c>
      <c r="B62" s="19">
        <v>4395</v>
      </c>
      <c r="C62" s="19">
        <v>3</v>
      </c>
      <c r="D62" s="19">
        <v>2</v>
      </c>
      <c r="E62" s="23" t="s">
        <v>27</v>
      </c>
      <c r="F62" s="19" t="str">
        <f t="shared" si="0"/>
        <v>Large</v>
      </c>
      <c r="G62" s="19">
        <v>2400000</v>
      </c>
      <c r="H62" s="19" t="str">
        <f>IF(' BENGALURU HOUSE PRICE'!$G62&lt;=500000,"Low",
IF(' BENGALURU HOUSE PRICE'!$G62&lt;=1000000,"Medium",
IF(' BENGALURU HOUSE PRICE'!$G62&lt;=3000000,"High","Luxury")))</f>
        <v>High</v>
      </c>
    </row>
    <row r="63" spans="1:8" ht="15.75" customHeight="1" x14ac:dyDescent="0.25">
      <c r="A63" s="19" t="s">
        <v>270</v>
      </c>
      <c r="B63" s="19">
        <v>845</v>
      </c>
      <c r="C63" s="19">
        <v>2</v>
      </c>
      <c r="D63" s="19">
        <v>1</v>
      </c>
      <c r="E63" s="23" t="s">
        <v>262</v>
      </c>
      <c r="F63" s="19" t="str">
        <f t="shared" si="0"/>
        <v>Small</v>
      </c>
      <c r="G63" s="19">
        <v>550000</v>
      </c>
      <c r="H63" s="19" t="str">
        <f>IF(' BENGALURU HOUSE PRICE'!$G63&lt;=500000,"Low",
IF(' BENGALURU HOUSE PRICE'!$G63&lt;=1000000,"Medium",
IF(' BENGALURU HOUSE PRICE'!$G63&lt;=3000000,"High","Luxury")))</f>
        <v>Medium</v>
      </c>
    </row>
    <row r="64" spans="1:8" ht="15.75" customHeight="1" x14ac:dyDescent="0.25">
      <c r="A64" s="19" t="s">
        <v>25</v>
      </c>
      <c r="B64" s="19">
        <v>5700</v>
      </c>
      <c r="C64" s="19">
        <v>5</v>
      </c>
      <c r="D64" s="19">
        <v>3</v>
      </c>
      <c r="E64" s="23" t="s">
        <v>264</v>
      </c>
      <c r="F64" s="19" t="str">
        <f t="shared" si="0"/>
        <v>Large</v>
      </c>
      <c r="G64" s="19">
        <v>6500000</v>
      </c>
      <c r="H64" s="19" t="str">
        <f>IF(' BENGALURU HOUSE PRICE'!$G64&lt;=500000,"Low",
IF(' BENGALURU HOUSE PRICE'!$G64&lt;=1000000,"Medium",
IF(' BENGALURU HOUSE PRICE'!$G64&lt;=3000000,"High","Luxury")))</f>
        <v>Luxury</v>
      </c>
    </row>
    <row r="65" spans="1:8" ht="15.75" customHeight="1" x14ac:dyDescent="0.25">
      <c r="A65" s="19" t="s">
        <v>240</v>
      </c>
      <c r="B65" s="19">
        <v>1160</v>
      </c>
      <c r="C65" s="19">
        <v>2</v>
      </c>
      <c r="D65" s="19">
        <v>2</v>
      </c>
      <c r="E65" s="23" t="s">
        <v>262</v>
      </c>
      <c r="F65" s="19" t="str">
        <f t="shared" si="0"/>
        <v>Medium</v>
      </c>
      <c r="G65" s="19">
        <v>440000</v>
      </c>
      <c r="H65" s="19" t="str">
        <f>IF(' BENGALURU HOUSE PRICE'!$G65&lt;=500000,"Low",
IF(' BENGALURU HOUSE PRICE'!$G65&lt;=1000000,"Medium",
IF(' BENGALURU HOUSE PRICE'!$G65&lt;=3000000,"High","Luxury")))</f>
        <v>Low</v>
      </c>
    </row>
    <row r="66" spans="1:8" ht="15.75" customHeight="1" x14ac:dyDescent="0.25">
      <c r="A66" s="19" t="s">
        <v>277</v>
      </c>
      <c r="B66" s="19">
        <v>3000</v>
      </c>
      <c r="C66" s="19">
        <v>8</v>
      </c>
      <c r="D66" s="19">
        <v>0</v>
      </c>
      <c r="E66" s="23" t="s">
        <v>271</v>
      </c>
      <c r="F66" s="19" t="str">
        <f t="shared" si="0"/>
        <v>Large</v>
      </c>
      <c r="G66" s="19">
        <v>1400000</v>
      </c>
      <c r="H66" s="19" t="str">
        <f>IF(' BENGALURU HOUSE PRICE'!$G66&lt;=500000,"Low",
IF(' BENGALURU HOUSE PRICE'!$G66&lt;=1000000,"Medium",
IF(' BENGALURU HOUSE PRICE'!$G66&lt;=3000000,"High","Luxury")))</f>
        <v>High</v>
      </c>
    </row>
    <row r="67" spans="1:8" ht="15.75" customHeight="1" x14ac:dyDescent="0.25">
      <c r="A67" s="19" t="s">
        <v>272</v>
      </c>
      <c r="B67" s="19">
        <v>1100</v>
      </c>
      <c r="C67" s="19">
        <v>2</v>
      </c>
      <c r="D67" s="19">
        <v>1</v>
      </c>
      <c r="E67" s="23" t="s">
        <v>262</v>
      </c>
      <c r="F67" s="19" t="str">
        <f t="shared" si="0"/>
        <v>Medium</v>
      </c>
      <c r="G67" s="19">
        <v>620000</v>
      </c>
      <c r="H67" s="19" t="str">
        <f>IF(' BENGALURU HOUSE PRICE'!$G67&lt;=500000,"Low",
IF(' BENGALURU HOUSE PRICE'!$G67&lt;=1000000,"Medium",
IF(' BENGALURU HOUSE PRICE'!$G67&lt;=3000000,"High","Luxury")))</f>
        <v>Medium</v>
      </c>
    </row>
    <row r="68" spans="1:8" ht="15.75" customHeight="1" x14ac:dyDescent="0.25">
      <c r="A68" s="19" t="s">
        <v>107</v>
      </c>
      <c r="B68" s="19">
        <v>1140</v>
      </c>
      <c r="C68" s="19">
        <v>2</v>
      </c>
      <c r="D68" s="19">
        <v>3</v>
      </c>
      <c r="E68" s="23" t="s">
        <v>262</v>
      </c>
      <c r="F68" s="19" t="str">
        <f t="shared" si="0"/>
        <v>Medium</v>
      </c>
      <c r="G68" s="19">
        <v>430000</v>
      </c>
      <c r="H68" s="19" t="str">
        <f>IF(' BENGALURU HOUSE PRICE'!$G68&lt;=500000,"Low",
IF(' BENGALURU HOUSE PRICE'!$G68&lt;=1000000,"Medium",
IF(' BENGALURU HOUSE PRICE'!$G68&lt;=3000000,"High","Luxury")))</f>
        <v>Low</v>
      </c>
    </row>
    <row r="69" spans="1:8" ht="15.75" customHeight="1" x14ac:dyDescent="0.25">
      <c r="A69" s="19" t="s">
        <v>20</v>
      </c>
      <c r="B69" s="19">
        <v>1220</v>
      </c>
      <c r="C69" s="19">
        <v>2</v>
      </c>
      <c r="D69" s="19">
        <v>1</v>
      </c>
      <c r="E69" s="23" t="s">
        <v>262</v>
      </c>
      <c r="F69" s="19" t="str">
        <f t="shared" si="0"/>
        <v>Medium</v>
      </c>
      <c r="G69" s="19">
        <v>570000</v>
      </c>
      <c r="H69" s="19" t="str">
        <f>IF(' BENGALURU HOUSE PRICE'!$G69&lt;=500000,"Low",
IF(' BENGALURU HOUSE PRICE'!$G69&lt;=1000000,"Medium",
IF(' BENGALURU HOUSE PRICE'!$G69&lt;=3000000,"High","Luxury")))</f>
        <v>Medium</v>
      </c>
    </row>
    <row r="70" spans="1:8" ht="15.75" customHeight="1" x14ac:dyDescent="0.25">
      <c r="A70" s="19" t="s">
        <v>87</v>
      </c>
      <c r="B70" s="19">
        <v>1350</v>
      </c>
      <c r="C70" s="19">
        <v>7</v>
      </c>
      <c r="D70" s="19">
        <v>0</v>
      </c>
      <c r="E70" s="23" t="s">
        <v>271</v>
      </c>
      <c r="F70" s="19" t="str">
        <f t="shared" si="0"/>
        <v>Medium</v>
      </c>
      <c r="G70" s="19">
        <v>850000</v>
      </c>
      <c r="H70" s="19" t="str">
        <f>IF(' BENGALURU HOUSE PRICE'!$G70&lt;=500000,"Low",
IF(' BENGALURU HOUSE PRICE'!$G70&lt;=1000000,"Medium",
IF(' BENGALURU HOUSE PRICE'!$G70&lt;=3000000,"High","Luxury")))</f>
        <v>Medium</v>
      </c>
    </row>
    <row r="71" spans="1:8" ht="15.75" customHeight="1" x14ac:dyDescent="0.25">
      <c r="A71" s="19" t="s">
        <v>19</v>
      </c>
      <c r="B71" s="19">
        <v>1005</v>
      </c>
      <c r="C71" s="19">
        <v>2</v>
      </c>
      <c r="D71" s="19">
        <v>1</v>
      </c>
      <c r="E71" s="23" t="s">
        <v>262</v>
      </c>
      <c r="F71" s="19" t="str">
        <f t="shared" si="0"/>
        <v>Medium</v>
      </c>
      <c r="G71" s="19">
        <v>366800</v>
      </c>
      <c r="H71" s="19" t="str">
        <f>IF(' BENGALURU HOUSE PRICE'!$G71&lt;=500000,"Low",
IF(' BENGALURU HOUSE PRICE'!$G71&lt;=1000000,"Medium",
IF(' BENGALURU HOUSE PRICE'!$G71&lt;=3000000,"High","Luxury")))</f>
        <v>Low</v>
      </c>
    </row>
    <row r="72" spans="1:8" ht="15.75" customHeight="1" x14ac:dyDescent="0.25">
      <c r="A72" s="19" t="s">
        <v>94</v>
      </c>
      <c r="B72" s="19">
        <v>500</v>
      </c>
      <c r="C72" s="19">
        <v>3</v>
      </c>
      <c r="D72" s="19">
        <v>2</v>
      </c>
      <c r="E72" s="23" t="s">
        <v>27</v>
      </c>
      <c r="F72" s="19" t="str">
        <f t="shared" si="0"/>
        <v>Small</v>
      </c>
      <c r="G72" s="19">
        <v>1000000</v>
      </c>
      <c r="H72" s="19" t="str">
        <f>IF(' BENGALURU HOUSE PRICE'!$G72&lt;=500000,"Low",
IF(' BENGALURU HOUSE PRICE'!$G72&lt;=1000000,"Medium",
IF(' BENGALURU HOUSE PRICE'!$G72&lt;=3000000,"High","Luxury")))</f>
        <v>Medium</v>
      </c>
    </row>
    <row r="73" spans="1:8" ht="15.75" customHeight="1" x14ac:dyDescent="0.25">
      <c r="A73" s="19" t="s">
        <v>58</v>
      </c>
      <c r="B73" s="19">
        <v>1358</v>
      </c>
      <c r="C73" s="19">
        <v>2</v>
      </c>
      <c r="D73" s="19">
        <v>1</v>
      </c>
      <c r="E73" s="23" t="s">
        <v>262</v>
      </c>
      <c r="F73" s="19" t="str">
        <f t="shared" si="0"/>
        <v>Medium</v>
      </c>
      <c r="G73" s="19">
        <v>805800</v>
      </c>
      <c r="H73" s="19" t="str">
        <f>IF(' BENGALURU HOUSE PRICE'!$G73&lt;=500000,"Low",
IF(' BENGALURU HOUSE PRICE'!$G73&lt;=1000000,"Medium",
IF(' BENGALURU HOUSE PRICE'!$G73&lt;=3000000,"High","Luxury")))</f>
        <v>Medium</v>
      </c>
    </row>
    <row r="74" spans="1:8" ht="15.75" customHeight="1" x14ac:dyDescent="0.25">
      <c r="A74" s="19" t="s">
        <v>110</v>
      </c>
      <c r="B74" s="19">
        <v>1569</v>
      </c>
      <c r="C74" s="19">
        <v>3</v>
      </c>
      <c r="D74" s="19">
        <v>1</v>
      </c>
      <c r="E74" s="23" t="s">
        <v>27</v>
      </c>
      <c r="F74" s="19" t="str">
        <f t="shared" si="0"/>
        <v>Medium</v>
      </c>
      <c r="G74" s="19">
        <v>1010000</v>
      </c>
      <c r="H74" s="19" t="str">
        <f>IF(' BENGALURU HOUSE PRICE'!$G74&lt;=500000,"Low",
IF(' BENGALURU HOUSE PRICE'!$G74&lt;=1000000,"Medium",
IF(' BENGALURU HOUSE PRICE'!$G74&lt;=3000000,"High","Luxury")))</f>
        <v>High</v>
      </c>
    </row>
    <row r="75" spans="1:8" ht="15.75" customHeight="1" x14ac:dyDescent="0.25">
      <c r="A75" s="19" t="s">
        <v>17</v>
      </c>
      <c r="B75" s="19">
        <v>1240</v>
      </c>
      <c r="C75" s="19">
        <v>2</v>
      </c>
      <c r="D75" s="19">
        <v>1</v>
      </c>
      <c r="E75" s="23" t="s">
        <v>262</v>
      </c>
      <c r="F75" s="19" t="str">
        <f t="shared" si="0"/>
        <v>Medium</v>
      </c>
      <c r="G75" s="19">
        <v>700000</v>
      </c>
      <c r="H75" s="19" t="str">
        <f>IF(' BENGALURU HOUSE PRICE'!$G75&lt;=500000,"Low",
IF(' BENGALURU HOUSE PRICE'!$G75&lt;=1000000,"Medium",
IF(' BENGALURU HOUSE PRICE'!$G75&lt;=3000000,"High","Luxury")))</f>
        <v>Medium</v>
      </c>
    </row>
    <row r="76" spans="1:8" ht="15.75" customHeight="1" x14ac:dyDescent="0.25">
      <c r="A76" s="19" t="s">
        <v>111</v>
      </c>
      <c r="B76" s="19">
        <v>2089</v>
      </c>
      <c r="C76" s="19">
        <v>3</v>
      </c>
      <c r="D76" s="19">
        <v>2</v>
      </c>
      <c r="E76" s="23" t="s">
        <v>27</v>
      </c>
      <c r="F76" s="19" t="str">
        <f t="shared" si="0"/>
        <v>Large</v>
      </c>
      <c r="G76" s="19">
        <v>1400000</v>
      </c>
      <c r="H76" s="19" t="str">
        <f>IF(' BENGALURU HOUSE PRICE'!$G76&lt;=500000,"Low",
IF(' BENGALURU HOUSE PRICE'!$G76&lt;=1000000,"Medium",
IF(' BENGALURU HOUSE PRICE'!$G76&lt;=3000000,"High","Luxury")))</f>
        <v>High</v>
      </c>
    </row>
    <row r="77" spans="1:8" ht="15.75" customHeight="1" x14ac:dyDescent="0.25">
      <c r="A77" s="19" t="s">
        <v>158</v>
      </c>
      <c r="B77" s="19">
        <v>1206</v>
      </c>
      <c r="C77" s="19">
        <v>2</v>
      </c>
      <c r="D77" s="19">
        <v>1</v>
      </c>
      <c r="E77" s="23" t="s">
        <v>262</v>
      </c>
      <c r="F77" s="19" t="str">
        <f t="shared" si="0"/>
        <v>Medium</v>
      </c>
      <c r="G77" s="19">
        <v>482300</v>
      </c>
      <c r="H77" s="19" t="str">
        <f>IF(' BENGALURU HOUSE PRICE'!$G77&lt;=500000,"Low",
IF(' BENGALURU HOUSE PRICE'!$G77&lt;=1000000,"Medium",
IF(' BENGALURU HOUSE PRICE'!$G77&lt;=3000000,"High","Luxury")))</f>
        <v>Low</v>
      </c>
    </row>
    <row r="78" spans="1:8" ht="15.75" customHeight="1" x14ac:dyDescent="0.25">
      <c r="A78" s="19" t="s">
        <v>139</v>
      </c>
      <c r="B78" s="19">
        <v>1150</v>
      </c>
      <c r="C78" s="19">
        <v>2</v>
      </c>
      <c r="D78" s="19">
        <v>3</v>
      </c>
      <c r="E78" s="23" t="s">
        <v>262</v>
      </c>
      <c r="F78" s="19" t="str">
        <f t="shared" si="0"/>
        <v>Medium</v>
      </c>
      <c r="G78" s="19">
        <v>400000</v>
      </c>
      <c r="H78" s="19" t="str">
        <f>IF(' BENGALURU HOUSE PRICE'!$G78&lt;=500000,"Low",
IF(' BENGALURU HOUSE PRICE'!$G78&lt;=1000000,"Medium",
IF(' BENGALURU HOUSE PRICE'!$G78&lt;=3000000,"High","Luxury")))</f>
        <v>Low</v>
      </c>
    </row>
    <row r="79" spans="1:8" ht="15.75" customHeight="1" x14ac:dyDescent="0.25">
      <c r="A79" s="19" t="s">
        <v>80</v>
      </c>
      <c r="B79" s="19">
        <v>2511</v>
      </c>
      <c r="C79" s="19">
        <v>3</v>
      </c>
      <c r="D79" s="19">
        <v>3</v>
      </c>
      <c r="E79" s="23" t="s">
        <v>27</v>
      </c>
      <c r="F79" s="19" t="str">
        <f t="shared" si="0"/>
        <v>Large</v>
      </c>
      <c r="G79" s="19">
        <v>2050000</v>
      </c>
      <c r="H79" s="19" t="str">
        <f>IF(' BENGALURU HOUSE PRICE'!$G79&lt;=500000,"Low",
IF(' BENGALURU HOUSE PRICE'!$G79&lt;=1000000,"Medium",
IF(' BENGALURU HOUSE PRICE'!$G79&lt;=3000000,"High","Luxury")))</f>
        <v>High</v>
      </c>
    </row>
    <row r="80" spans="1:8" ht="15.75" customHeight="1" x14ac:dyDescent="0.25">
      <c r="A80" s="19" t="s">
        <v>278</v>
      </c>
      <c r="B80" s="19">
        <v>460</v>
      </c>
      <c r="C80" s="19">
        <v>1</v>
      </c>
      <c r="D80" s="19">
        <v>0</v>
      </c>
      <c r="E80" s="23" t="s">
        <v>262</v>
      </c>
      <c r="F80" s="19" t="str">
        <f t="shared" si="0"/>
        <v>Small</v>
      </c>
      <c r="G80" s="19">
        <v>220000</v>
      </c>
      <c r="H80" s="19" t="str">
        <f>IF(' BENGALURU HOUSE PRICE'!$G80&lt;=500000,"Low",
IF(' BENGALURU HOUSE PRICE'!$G80&lt;=1000000,"Medium",
IF(' BENGALURU HOUSE PRICE'!$G80&lt;=3000000,"High","Luxury")))</f>
        <v>Low</v>
      </c>
    </row>
    <row r="81" spans="1:8" ht="15.75" customHeight="1" x14ac:dyDescent="0.25">
      <c r="A81" s="19" t="s">
        <v>279</v>
      </c>
      <c r="B81" s="19">
        <v>4400</v>
      </c>
      <c r="C81" s="19">
        <v>6</v>
      </c>
      <c r="D81" s="19">
        <v>3</v>
      </c>
      <c r="E81" s="23" t="s">
        <v>266</v>
      </c>
      <c r="F81" s="19" t="str">
        <f t="shared" si="0"/>
        <v>Large</v>
      </c>
      <c r="G81" s="19">
        <v>2500000</v>
      </c>
      <c r="H81" s="19" t="str">
        <f>IF(' BENGALURU HOUSE PRICE'!$G81&lt;=500000,"Low",
IF(' BENGALURU HOUSE PRICE'!$G81&lt;=1000000,"Medium",
IF(' BENGALURU HOUSE PRICE'!$G81&lt;=3000000,"High","Luxury")))</f>
        <v>High</v>
      </c>
    </row>
    <row r="82" spans="1:8" ht="15.75" customHeight="1" x14ac:dyDescent="0.25">
      <c r="A82" s="19" t="s">
        <v>151</v>
      </c>
      <c r="B82" s="19">
        <v>1660</v>
      </c>
      <c r="C82" s="19">
        <v>2</v>
      </c>
      <c r="D82" s="19">
        <v>2</v>
      </c>
      <c r="E82" s="23" t="s">
        <v>27</v>
      </c>
      <c r="F82" s="19" t="str">
        <f t="shared" si="0"/>
        <v>Medium</v>
      </c>
      <c r="G82" s="19">
        <v>1050000</v>
      </c>
      <c r="H82" s="19" t="str">
        <f>IF(' BENGALURU HOUSE PRICE'!$G82&lt;=500000,"Low",
IF(' BENGALURU HOUSE PRICE'!$G82&lt;=1000000,"Medium",
IF(' BENGALURU HOUSE PRICE'!$G82&lt;=3000000,"High","Luxury")))</f>
        <v>High</v>
      </c>
    </row>
    <row r="83" spans="1:8" ht="15.75" customHeight="1" x14ac:dyDescent="0.25">
      <c r="A83" s="19" t="s">
        <v>111</v>
      </c>
      <c r="B83" s="19">
        <v>1559</v>
      </c>
      <c r="C83" s="19">
        <v>2</v>
      </c>
      <c r="D83" s="19">
        <v>2</v>
      </c>
      <c r="E83" s="23" t="s">
        <v>264</v>
      </c>
      <c r="F83" s="19" t="str">
        <f t="shared" si="0"/>
        <v>Medium</v>
      </c>
      <c r="G83" s="19">
        <v>2245000</v>
      </c>
      <c r="H83" s="19" t="str">
        <f>IF(' BENGALURU HOUSE PRICE'!$G83&lt;=500000,"Low",
IF(' BENGALURU HOUSE PRICE'!$G83&lt;=1000000,"Medium",
IF(' BENGALURU HOUSE PRICE'!$G83&lt;=3000000,"High","Luxury")))</f>
        <v>High</v>
      </c>
    </row>
    <row r="84" spans="1:8" ht="15.75" customHeight="1" x14ac:dyDescent="0.25">
      <c r="A84" s="19" t="s">
        <v>26</v>
      </c>
      <c r="B84" s="19">
        <v>1326</v>
      </c>
      <c r="C84" s="19">
        <v>2</v>
      </c>
      <c r="D84" s="19">
        <v>2</v>
      </c>
      <c r="E84" s="23" t="s">
        <v>262</v>
      </c>
      <c r="F84" s="19" t="str">
        <f t="shared" si="0"/>
        <v>Medium</v>
      </c>
      <c r="G84" s="19">
        <v>780000</v>
      </c>
      <c r="H84" s="19" t="str">
        <f>IF(' BENGALURU HOUSE PRICE'!$G84&lt;=500000,"Low",
IF(' BENGALURU HOUSE PRICE'!$G84&lt;=1000000,"Medium",
IF(' BENGALURU HOUSE PRICE'!$G84&lt;=3000000,"High","Luxury")))</f>
        <v>Medium</v>
      </c>
    </row>
    <row r="85" spans="1:8" ht="15.75" customHeight="1" x14ac:dyDescent="0.25">
      <c r="A85" s="19" t="s">
        <v>100</v>
      </c>
      <c r="B85" s="19">
        <v>1325</v>
      </c>
      <c r="C85" s="19">
        <v>2</v>
      </c>
      <c r="D85" s="19">
        <v>2</v>
      </c>
      <c r="E85" s="23" t="s">
        <v>27</v>
      </c>
      <c r="F85" s="19" t="str">
        <f t="shared" si="0"/>
        <v>Medium</v>
      </c>
      <c r="G85" s="19">
        <v>608000</v>
      </c>
      <c r="H85" s="19" t="str">
        <f>IF(' BENGALURU HOUSE PRICE'!$G85&lt;=500000,"Low",
IF(' BENGALURU HOUSE PRICE'!$G85&lt;=1000000,"Medium",
IF(' BENGALURU HOUSE PRICE'!$G85&lt;=3000000,"High","Luxury")))</f>
        <v>Medium</v>
      </c>
    </row>
    <row r="86" spans="1:8" ht="15.75" customHeight="1" x14ac:dyDescent="0.25">
      <c r="A86" s="19" t="s">
        <v>98</v>
      </c>
      <c r="B86" s="19">
        <v>1499</v>
      </c>
      <c r="C86" s="19">
        <v>5</v>
      </c>
      <c r="D86" s="19">
        <v>2</v>
      </c>
      <c r="E86" s="23" t="s">
        <v>27</v>
      </c>
      <c r="F86" s="19" t="str">
        <f t="shared" si="0"/>
        <v>Medium</v>
      </c>
      <c r="G86" s="19">
        <v>1020000</v>
      </c>
      <c r="H86" s="19" t="str">
        <f>IF(' BENGALURU HOUSE PRICE'!$G86&lt;=500000,"Low",
IF(' BENGALURU HOUSE PRICE'!$G86&lt;=1000000,"Medium",
IF(' BENGALURU HOUSE PRICE'!$G86&lt;=3000000,"High","Luxury")))</f>
        <v>High</v>
      </c>
    </row>
    <row r="87" spans="1:8" ht="15.75" customHeight="1" x14ac:dyDescent="0.25">
      <c r="A87" s="19" t="s">
        <v>110</v>
      </c>
      <c r="B87" s="19">
        <v>3000</v>
      </c>
      <c r="C87" s="19">
        <v>7</v>
      </c>
      <c r="D87" s="19">
        <v>2</v>
      </c>
      <c r="E87" s="23" t="s">
        <v>266</v>
      </c>
      <c r="F87" s="19" t="str">
        <f t="shared" si="0"/>
        <v>Large</v>
      </c>
      <c r="G87" s="19">
        <v>2100000</v>
      </c>
      <c r="H87" s="19" t="str">
        <f>IF(' BENGALURU HOUSE PRICE'!$G87&lt;=500000,"Low",
IF(' BENGALURU HOUSE PRICE'!$G87&lt;=1000000,"Medium",
IF(' BENGALURU HOUSE PRICE'!$G87&lt;=3000000,"High","Luxury")))</f>
        <v>High</v>
      </c>
    </row>
    <row r="88" spans="1:8" ht="15.75" customHeight="1" x14ac:dyDescent="0.25">
      <c r="A88" s="19" t="s">
        <v>19</v>
      </c>
      <c r="B88" s="19">
        <v>1665</v>
      </c>
      <c r="C88" s="19">
        <v>3</v>
      </c>
      <c r="D88" s="19">
        <v>2</v>
      </c>
      <c r="E88" s="23" t="s">
        <v>27</v>
      </c>
      <c r="F88" s="19" t="str">
        <f t="shared" si="0"/>
        <v>Medium</v>
      </c>
      <c r="G88" s="19">
        <v>880000</v>
      </c>
      <c r="H88" s="19" t="str">
        <f>IF(' BENGALURU HOUSE PRICE'!$G88&lt;=500000,"Low",
IF(' BENGALURU HOUSE PRICE'!$G88&lt;=1000000,"Medium",
IF(' BENGALURU HOUSE PRICE'!$G88&lt;=3000000,"High","Luxury")))</f>
        <v>Medium</v>
      </c>
    </row>
    <row r="89" spans="1:8" ht="15.75" customHeight="1" x14ac:dyDescent="0.25">
      <c r="A89" s="19" t="s">
        <v>280</v>
      </c>
      <c r="B89" s="19">
        <v>708</v>
      </c>
      <c r="C89" s="19">
        <v>2</v>
      </c>
      <c r="D89" s="19">
        <v>2</v>
      </c>
      <c r="E89" s="23" t="s">
        <v>262</v>
      </c>
      <c r="F89" s="19" t="str">
        <f t="shared" si="0"/>
        <v>Small</v>
      </c>
      <c r="G89" s="19">
        <v>370000</v>
      </c>
      <c r="H89" s="19" t="str">
        <f>IF(' BENGALURU HOUSE PRICE'!$G89&lt;=500000,"Low",
IF(' BENGALURU HOUSE PRICE'!$G89&lt;=1000000,"Medium",
IF(' BENGALURU HOUSE PRICE'!$G89&lt;=3000000,"High","Luxury")))</f>
        <v>Low</v>
      </c>
    </row>
    <row r="90" spans="1:8" ht="15.75" customHeight="1" x14ac:dyDescent="0.25">
      <c r="A90" s="19" t="s">
        <v>145</v>
      </c>
      <c r="B90" s="19">
        <v>1060</v>
      </c>
      <c r="C90" s="19">
        <v>2</v>
      </c>
      <c r="D90" s="19">
        <v>2</v>
      </c>
      <c r="E90" s="23" t="s">
        <v>262</v>
      </c>
      <c r="F90" s="19" t="str">
        <f t="shared" si="0"/>
        <v>Medium</v>
      </c>
      <c r="G90" s="19">
        <v>580600</v>
      </c>
      <c r="H90" s="19" t="str">
        <f>IF(' BENGALURU HOUSE PRICE'!$G90&lt;=500000,"Low",
IF(' BENGALURU HOUSE PRICE'!$G90&lt;=1000000,"Medium",
IF(' BENGALURU HOUSE PRICE'!$G90&lt;=3000000,"High","Luxury")))</f>
        <v>Medium</v>
      </c>
    </row>
    <row r="91" spans="1:8" ht="15.75" customHeight="1" x14ac:dyDescent="0.25">
      <c r="A91" s="19" t="s">
        <v>197</v>
      </c>
      <c r="B91" s="19">
        <v>710</v>
      </c>
      <c r="C91" s="19">
        <v>6</v>
      </c>
      <c r="D91" s="19">
        <v>3</v>
      </c>
      <c r="E91" s="23" t="s">
        <v>266</v>
      </c>
      <c r="F91" s="19" t="str">
        <f t="shared" si="0"/>
        <v>Small</v>
      </c>
      <c r="G91" s="19">
        <v>1600000</v>
      </c>
      <c r="H91" s="19" t="str">
        <f>IF(' BENGALURU HOUSE PRICE'!$G91&lt;=500000,"Low",
IF(' BENGALURU HOUSE PRICE'!$G91&lt;=1000000,"Medium",
IF(' BENGALURU HOUSE PRICE'!$G91&lt;=3000000,"High","Luxury")))</f>
        <v>High</v>
      </c>
    </row>
    <row r="92" spans="1:8" ht="15.75" customHeight="1" x14ac:dyDescent="0.25">
      <c r="A92" s="19" t="s">
        <v>281</v>
      </c>
      <c r="B92" s="19">
        <v>1000</v>
      </c>
      <c r="C92" s="19">
        <v>2</v>
      </c>
      <c r="D92" s="19">
        <v>2</v>
      </c>
      <c r="E92" s="23" t="s">
        <v>262</v>
      </c>
      <c r="F92" s="19" t="str">
        <f t="shared" si="0"/>
        <v>Small</v>
      </c>
      <c r="G92" s="19">
        <v>700000</v>
      </c>
      <c r="H92" s="19" t="str">
        <f>IF(' BENGALURU HOUSE PRICE'!$G92&lt;=500000,"Low",
IF(' BENGALURU HOUSE PRICE'!$G92&lt;=1000000,"Medium",
IF(' BENGALURU HOUSE PRICE'!$G92&lt;=3000000,"High","Luxury")))</f>
        <v>Medium</v>
      </c>
    </row>
    <row r="93" spans="1:8" ht="15.75" customHeight="1" x14ac:dyDescent="0.25">
      <c r="A93" s="19" t="s">
        <v>16</v>
      </c>
      <c r="B93" s="19">
        <v>1000</v>
      </c>
      <c r="C93" s="19">
        <v>2</v>
      </c>
      <c r="D93" s="19">
        <v>1</v>
      </c>
      <c r="E93" s="23" t="s">
        <v>262</v>
      </c>
      <c r="F93" s="19" t="str">
        <f t="shared" si="0"/>
        <v>Small</v>
      </c>
      <c r="G93" s="19">
        <v>288800</v>
      </c>
      <c r="H93" s="19" t="str">
        <f>IF(' BENGALURU HOUSE PRICE'!$G93&lt;=500000,"Low",
IF(' BENGALURU HOUSE PRICE'!$G93&lt;=1000000,"Medium",
IF(' BENGALURU HOUSE PRICE'!$G93&lt;=3000000,"High","Luxury")))</f>
        <v>Low</v>
      </c>
    </row>
    <row r="94" spans="1:8" ht="15.75" customHeight="1" x14ac:dyDescent="0.25">
      <c r="A94" s="19" t="s">
        <v>181</v>
      </c>
      <c r="B94" s="19">
        <v>1450</v>
      </c>
      <c r="C94" s="19">
        <v>2</v>
      </c>
      <c r="D94" s="19">
        <v>2</v>
      </c>
      <c r="E94" s="23" t="s">
        <v>27</v>
      </c>
      <c r="F94" s="19" t="str">
        <f t="shared" si="0"/>
        <v>Medium</v>
      </c>
      <c r="G94" s="19">
        <v>700000</v>
      </c>
      <c r="H94" s="19" t="str">
        <f>IF(' BENGALURU HOUSE PRICE'!$G94&lt;=500000,"Low",
IF(' BENGALURU HOUSE PRICE'!$G94&lt;=1000000,"Medium",
IF(' BENGALURU HOUSE PRICE'!$G94&lt;=3000000,"High","Luxury")))</f>
        <v>Medium</v>
      </c>
    </row>
    <row r="95" spans="1:8" ht="15.75" customHeight="1" x14ac:dyDescent="0.25">
      <c r="A95" s="19" t="s">
        <v>279</v>
      </c>
      <c r="B95" s="19">
        <v>1200</v>
      </c>
      <c r="C95" s="19">
        <v>4</v>
      </c>
      <c r="D95" s="19">
        <v>2</v>
      </c>
      <c r="E95" s="23" t="s">
        <v>264</v>
      </c>
      <c r="F95" s="19" t="str">
        <f t="shared" si="0"/>
        <v>Medium</v>
      </c>
      <c r="G95" s="19">
        <v>1550000</v>
      </c>
      <c r="H95" s="19" t="str">
        <f>IF(' BENGALURU HOUSE PRICE'!$G95&lt;=500000,"Low",
IF(' BENGALURU HOUSE PRICE'!$G95&lt;=1000000,"Medium",
IF(' BENGALURU HOUSE PRICE'!$G95&lt;=3000000,"High","Luxury")))</f>
        <v>High</v>
      </c>
    </row>
    <row r="96" spans="1:8" ht="15.75" customHeight="1" x14ac:dyDescent="0.25">
      <c r="A96" s="19" t="s">
        <v>23</v>
      </c>
      <c r="B96" s="19">
        <v>1296</v>
      </c>
      <c r="C96" s="19">
        <v>2</v>
      </c>
      <c r="D96" s="19">
        <v>3</v>
      </c>
      <c r="E96" s="23" t="s">
        <v>262</v>
      </c>
      <c r="F96" s="19" t="str">
        <f t="shared" si="0"/>
        <v>Medium</v>
      </c>
      <c r="G96" s="19">
        <v>800000</v>
      </c>
      <c r="H96" s="19" t="str">
        <f>IF(' BENGALURU HOUSE PRICE'!$G96&lt;=500000,"Low",
IF(' BENGALURU HOUSE PRICE'!$G96&lt;=1000000,"Medium",
IF(' BENGALURU HOUSE PRICE'!$G96&lt;=3000000,"High","Luxury")))</f>
        <v>Medium</v>
      </c>
    </row>
    <row r="97" spans="1:8" ht="15.75" customHeight="1" x14ac:dyDescent="0.25">
      <c r="A97" s="19" t="s">
        <v>91</v>
      </c>
      <c r="B97" s="19">
        <v>1540</v>
      </c>
      <c r="C97" s="19">
        <v>3</v>
      </c>
      <c r="D97" s="19">
        <v>2</v>
      </c>
      <c r="E97" s="23" t="s">
        <v>27</v>
      </c>
      <c r="F97" s="19" t="str">
        <f t="shared" si="0"/>
        <v>Medium</v>
      </c>
      <c r="G97" s="19">
        <v>900000</v>
      </c>
      <c r="H97" s="19" t="str">
        <f>IF(' BENGALURU HOUSE PRICE'!$G97&lt;=500000,"Low",
IF(' BENGALURU HOUSE PRICE'!$G97&lt;=1000000,"Medium",
IF(' BENGALURU HOUSE PRICE'!$G97&lt;=3000000,"High","Luxury")))</f>
        <v>Medium</v>
      </c>
    </row>
    <row r="98" spans="1:8" ht="15.75" customHeight="1" x14ac:dyDescent="0.25">
      <c r="A98" s="19" t="s">
        <v>148</v>
      </c>
      <c r="B98" s="19">
        <v>2894</v>
      </c>
      <c r="C98" s="19">
        <v>4</v>
      </c>
      <c r="D98" s="19">
        <v>1</v>
      </c>
      <c r="E98" s="23" t="s">
        <v>264</v>
      </c>
      <c r="F98" s="19" t="str">
        <f t="shared" si="0"/>
        <v>Large</v>
      </c>
      <c r="G98" s="19">
        <v>2450000</v>
      </c>
      <c r="H98" s="19" t="str">
        <f>IF(' BENGALURU HOUSE PRICE'!$G98&lt;=500000,"Low",
IF(' BENGALURU HOUSE PRICE'!$G98&lt;=1000000,"Medium",
IF(' BENGALURU HOUSE PRICE'!$G98&lt;=3000000,"High","Luxury")))</f>
        <v>High</v>
      </c>
    </row>
    <row r="99" spans="1:8" ht="15.75" customHeight="1" x14ac:dyDescent="0.25">
      <c r="A99" s="19" t="s">
        <v>211</v>
      </c>
      <c r="B99" s="19">
        <v>1330</v>
      </c>
      <c r="C99" s="19">
        <v>2</v>
      </c>
      <c r="D99" s="19">
        <v>1</v>
      </c>
      <c r="E99" s="23" t="s">
        <v>27</v>
      </c>
      <c r="F99" s="19" t="str">
        <f t="shared" si="0"/>
        <v>Medium</v>
      </c>
      <c r="G99" s="19">
        <v>480000</v>
      </c>
      <c r="H99" s="19" t="str">
        <f>IF(' BENGALURU HOUSE PRICE'!$G99&lt;=500000,"Low",
IF(' BENGALURU HOUSE PRICE'!$G99&lt;=1000000,"Medium",
IF(' BENGALURU HOUSE PRICE'!$G99&lt;=3000000,"High","Luxury")))</f>
        <v>Low</v>
      </c>
    </row>
    <row r="100" spans="1:8" ht="15.75" customHeight="1" x14ac:dyDescent="0.25">
      <c r="A100" s="19" t="s">
        <v>282</v>
      </c>
      <c r="B100" s="19">
        <v>1200</v>
      </c>
      <c r="C100" s="19">
        <v>2</v>
      </c>
      <c r="D100" s="19">
        <v>1</v>
      </c>
      <c r="E100" s="23" t="s">
        <v>262</v>
      </c>
      <c r="F100" s="19" t="str">
        <f t="shared" si="0"/>
        <v>Medium</v>
      </c>
      <c r="G100" s="19">
        <v>650000</v>
      </c>
      <c r="H100" s="19" t="str">
        <f>IF(' BENGALURU HOUSE PRICE'!$G100&lt;=500000,"Low",
IF(' BENGALURU HOUSE PRICE'!$G100&lt;=1000000,"Medium",
IF(' BENGALURU HOUSE PRICE'!$G100&lt;=3000000,"High","Luxury")))</f>
        <v>Medium</v>
      </c>
    </row>
    <row r="101" spans="1:8" ht="15.75" customHeight="1" x14ac:dyDescent="0.25">
      <c r="A101" s="19" t="s">
        <v>226</v>
      </c>
      <c r="B101" s="19">
        <v>1200</v>
      </c>
      <c r="C101" s="19">
        <v>3</v>
      </c>
      <c r="D101" s="19">
        <v>1</v>
      </c>
      <c r="E101" s="23" t="s">
        <v>27</v>
      </c>
      <c r="F101" s="19" t="str">
        <f t="shared" si="0"/>
        <v>Medium</v>
      </c>
      <c r="G101" s="19">
        <v>900000</v>
      </c>
      <c r="H101" s="19" t="str">
        <f>IF(' BENGALURU HOUSE PRICE'!$G101&lt;=500000,"Low",
IF(' BENGALURU HOUSE PRICE'!$G101&lt;=1000000,"Medium",
IF(' BENGALURU HOUSE PRICE'!$G101&lt;=3000000,"High","Luxury")))</f>
        <v>Medium</v>
      </c>
    </row>
    <row r="102" spans="1:8" ht="15.75" customHeight="1" x14ac:dyDescent="0.25">
      <c r="A102" s="19" t="s">
        <v>250</v>
      </c>
      <c r="B102" s="19">
        <v>2502</v>
      </c>
      <c r="C102" s="19">
        <v>3</v>
      </c>
      <c r="D102" s="19">
        <v>3</v>
      </c>
      <c r="E102" s="23" t="s">
        <v>27</v>
      </c>
      <c r="F102" s="19" t="str">
        <f t="shared" si="0"/>
        <v>Large</v>
      </c>
      <c r="G102" s="19">
        <v>1380000</v>
      </c>
      <c r="H102" s="19" t="str">
        <f>IF(' BENGALURU HOUSE PRICE'!$G102&lt;=500000,"Low",
IF(' BENGALURU HOUSE PRICE'!$G102&lt;=1000000,"Medium",
IF(' BENGALURU HOUSE PRICE'!$G102&lt;=3000000,"High","Luxury")))</f>
        <v>High</v>
      </c>
    </row>
    <row r="103" spans="1:8" ht="15.75" customHeight="1" x14ac:dyDescent="0.25">
      <c r="A103" s="19" t="s">
        <v>74</v>
      </c>
      <c r="B103" s="19">
        <v>650</v>
      </c>
      <c r="C103" s="19">
        <v>1</v>
      </c>
      <c r="D103" s="19">
        <v>1</v>
      </c>
      <c r="E103" s="23" t="s">
        <v>262</v>
      </c>
      <c r="F103" s="19" t="str">
        <f t="shared" si="0"/>
        <v>Small</v>
      </c>
      <c r="G103" s="19">
        <v>170000</v>
      </c>
      <c r="H103" s="19" t="str">
        <f>IF(' BENGALURU HOUSE PRICE'!$G103&lt;=500000,"Low",
IF(' BENGALURU HOUSE PRICE'!$G103&lt;=1000000,"Medium",
IF(' BENGALURU HOUSE PRICE'!$G103&lt;=3000000,"High","Luxury")))</f>
        <v>Low</v>
      </c>
    </row>
    <row r="104" spans="1:8" ht="15.75" customHeight="1" x14ac:dyDescent="0.25">
      <c r="A104" s="19" t="s">
        <v>159</v>
      </c>
      <c r="B104" s="19">
        <v>2400</v>
      </c>
      <c r="C104" s="19">
        <v>2</v>
      </c>
      <c r="D104" s="19">
        <v>1</v>
      </c>
      <c r="E104" s="23" t="s">
        <v>27</v>
      </c>
      <c r="F104" s="19" t="str">
        <f t="shared" si="0"/>
        <v>Large</v>
      </c>
      <c r="G104" s="19">
        <v>1500000</v>
      </c>
      <c r="H104" s="19" t="str">
        <f>IF(' BENGALURU HOUSE PRICE'!$G104&lt;=500000,"Low",
IF(' BENGALURU HOUSE PRICE'!$G104&lt;=1000000,"Medium",
IF(' BENGALURU HOUSE PRICE'!$G104&lt;=3000000,"High","Luxury")))</f>
        <v>High</v>
      </c>
    </row>
    <row r="105" spans="1:8" ht="15.75" customHeight="1" x14ac:dyDescent="0.25">
      <c r="A105" s="19" t="s">
        <v>283</v>
      </c>
      <c r="B105" s="19">
        <v>1007</v>
      </c>
      <c r="C105" s="19">
        <v>2</v>
      </c>
      <c r="D105" s="19">
        <v>2</v>
      </c>
      <c r="E105" s="23" t="s">
        <v>262</v>
      </c>
      <c r="F105" s="19" t="str">
        <f t="shared" si="0"/>
        <v>Medium</v>
      </c>
      <c r="G105" s="19">
        <v>430000</v>
      </c>
      <c r="H105" s="19" t="str">
        <f>IF(' BENGALURU HOUSE PRICE'!$G105&lt;=500000,"Low",
IF(' BENGALURU HOUSE PRICE'!$G105&lt;=1000000,"Medium",
IF(' BENGALURU HOUSE PRICE'!$G105&lt;=3000000,"High","Luxury")))</f>
        <v>Low</v>
      </c>
    </row>
    <row r="106" spans="1:8" ht="15.75" customHeight="1" x14ac:dyDescent="0.25">
      <c r="A106" s="19" t="s">
        <v>213</v>
      </c>
      <c r="B106" s="19">
        <v>1200</v>
      </c>
      <c r="C106" s="19">
        <v>2</v>
      </c>
      <c r="D106" s="19">
        <v>2</v>
      </c>
      <c r="E106" s="23" t="s">
        <v>262</v>
      </c>
      <c r="F106" s="19" t="str">
        <f t="shared" si="0"/>
        <v>Medium</v>
      </c>
      <c r="G106" s="19">
        <v>500000</v>
      </c>
      <c r="H106" s="19" t="str">
        <f>IF(' BENGALURU HOUSE PRICE'!$G106&lt;=500000,"Low",
IF(' BENGALURU HOUSE PRICE'!$G106&lt;=1000000,"Medium",
IF(' BENGALURU HOUSE PRICE'!$G106&lt;=3000000,"High","Luxury")))</f>
        <v>Low</v>
      </c>
    </row>
    <row r="107" spans="1:8" ht="15.75" customHeight="1" x14ac:dyDescent="0.25">
      <c r="A107" s="19" t="s">
        <v>194</v>
      </c>
      <c r="B107" s="19">
        <v>966</v>
      </c>
      <c r="C107" s="19">
        <v>2</v>
      </c>
      <c r="D107" s="19">
        <v>2</v>
      </c>
      <c r="E107" s="23" t="s">
        <v>262</v>
      </c>
      <c r="F107" s="19" t="str">
        <f t="shared" si="0"/>
        <v>Small</v>
      </c>
      <c r="G107" s="19">
        <v>499000</v>
      </c>
      <c r="H107" s="19" t="str">
        <f>IF(' BENGALURU HOUSE PRICE'!$G107&lt;=500000,"Low",
IF(' BENGALURU HOUSE PRICE'!$G107&lt;=1000000,"Medium",
IF(' BENGALURU HOUSE PRICE'!$G107&lt;=3000000,"High","Luxury")))</f>
        <v>Low</v>
      </c>
    </row>
    <row r="108" spans="1:8" ht="15.75" customHeight="1" x14ac:dyDescent="0.25">
      <c r="A108" s="19" t="s">
        <v>183</v>
      </c>
      <c r="B108" s="19">
        <v>1630</v>
      </c>
      <c r="C108" s="19">
        <v>2</v>
      </c>
      <c r="D108" s="19">
        <v>1</v>
      </c>
      <c r="E108" s="23" t="s">
        <v>27</v>
      </c>
      <c r="F108" s="19" t="str">
        <f t="shared" si="0"/>
        <v>Medium</v>
      </c>
      <c r="G108" s="19">
        <v>980000</v>
      </c>
      <c r="H108" s="19" t="str">
        <f>IF(' BENGALURU HOUSE PRICE'!$G108&lt;=500000,"Low",
IF(' BENGALURU HOUSE PRICE'!$G108&lt;=1000000,"Medium",
IF(' BENGALURU HOUSE PRICE'!$G108&lt;=3000000,"High","Luxury")))</f>
        <v>Medium</v>
      </c>
    </row>
    <row r="109" spans="1:8" ht="15.75" customHeight="1" x14ac:dyDescent="0.25">
      <c r="A109" s="19" t="s">
        <v>197</v>
      </c>
      <c r="B109" s="19">
        <v>1640</v>
      </c>
      <c r="C109" s="19">
        <v>3</v>
      </c>
      <c r="D109" s="19">
        <v>2</v>
      </c>
      <c r="E109" s="23" t="s">
        <v>27</v>
      </c>
      <c r="F109" s="19" t="str">
        <f t="shared" si="0"/>
        <v>Medium</v>
      </c>
      <c r="G109" s="19">
        <v>2290000</v>
      </c>
      <c r="H109" s="19" t="str">
        <f>IF(' BENGALURU HOUSE PRICE'!$G109&lt;=500000,"Low",
IF(' BENGALURU HOUSE PRICE'!$G109&lt;=1000000,"Medium",
IF(' BENGALURU HOUSE PRICE'!$G109&lt;=3000000,"High","Luxury")))</f>
        <v>High</v>
      </c>
    </row>
    <row r="110" spans="1:8" ht="15.75" customHeight="1" x14ac:dyDescent="0.25">
      <c r="A110" s="19" t="s">
        <v>284</v>
      </c>
      <c r="B110" s="19">
        <v>782</v>
      </c>
      <c r="C110" s="19">
        <v>2</v>
      </c>
      <c r="D110" s="19">
        <v>2</v>
      </c>
      <c r="E110" s="23" t="s">
        <v>262</v>
      </c>
      <c r="F110" s="19" t="str">
        <f t="shared" si="0"/>
        <v>Small</v>
      </c>
      <c r="G110" s="19">
        <v>556800</v>
      </c>
      <c r="H110" s="19" t="str">
        <f>IF(' BENGALURU HOUSE PRICE'!$G110&lt;=500000,"Low",
IF(' BENGALURU HOUSE PRICE'!$G110&lt;=1000000,"Medium",
IF(' BENGALURU HOUSE PRICE'!$G110&lt;=3000000,"High","Luxury")))</f>
        <v>Medium</v>
      </c>
    </row>
    <row r="111" spans="1:8" ht="15.75" customHeight="1" x14ac:dyDescent="0.25">
      <c r="A111" s="19" t="s">
        <v>86</v>
      </c>
      <c r="B111" s="19">
        <v>1260</v>
      </c>
      <c r="C111" s="19">
        <v>2</v>
      </c>
      <c r="D111" s="19">
        <v>2</v>
      </c>
      <c r="E111" s="23" t="s">
        <v>262</v>
      </c>
      <c r="F111" s="19" t="str">
        <f t="shared" si="0"/>
        <v>Medium</v>
      </c>
      <c r="G111" s="19">
        <v>667800</v>
      </c>
      <c r="H111" s="19" t="str">
        <f>IF(' BENGALURU HOUSE PRICE'!$G111&lt;=500000,"Low",
IF(' BENGALURU HOUSE PRICE'!$G111&lt;=1000000,"Medium",
IF(' BENGALURU HOUSE PRICE'!$G111&lt;=3000000,"High","Luxury")))</f>
        <v>Medium</v>
      </c>
    </row>
    <row r="112" spans="1:8" ht="15.75" customHeight="1" x14ac:dyDescent="0.25">
      <c r="A112" s="19" t="s">
        <v>163</v>
      </c>
      <c r="B112" s="19">
        <v>1800</v>
      </c>
      <c r="C112" s="19">
        <v>3</v>
      </c>
      <c r="D112" s="19">
        <v>3</v>
      </c>
      <c r="E112" s="23" t="s">
        <v>27</v>
      </c>
      <c r="F112" s="19" t="str">
        <f t="shared" si="0"/>
        <v>Medium</v>
      </c>
      <c r="G112" s="19">
        <v>1200000</v>
      </c>
      <c r="H112" s="19" t="str">
        <f>IF(' BENGALURU HOUSE PRICE'!$G112&lt;=500000,"Low",
IF(' BENGALURU HOUSE PRICE'!$G112&lt;=1000000,"Medium",
IF(' BENGALURU HOUSE PRICE'!$G112&lt;=3000000,"High","Luxury")))</f>
        <v>High</v>
      </c>
    </row>
    <row r="113" spans="1:8" ht="15.75" customHeight="1" x14ac:dyDescent="0.25">
      <c r="A113" s="19" t="s">
        <v>71</v>
      </c>
      <c r="B113" s="19">
        <v>1413</v>
      </c>
      <c r="C113" s="19">
        <v>2</v>
      </c>
      <c r="D113" s="19">
        <v>2</v>
      </c>
      <c r="E113" s="23" t="s">
        <v>27</v>
      </c>
      <c r="F113" s="19" t="str">
        <f t="shared" si="0"/>
        <v>Medium</v>
      </c>
      <c r="G113" s="19">
        <v>750000</v>
      </c>
      <c r="H113" s="19" t="str">
        <f>IF(' BENGALURU HOUSE PRICE'!$G113&lt;=500000,"Low",
IF(' BENGALURU HOUSE PRICE'!$G113&lt;=1000000,"Medium",
IF(' BENGALURU HOUSE PRICE'!$G113&lt;=3000000,"High","Luxury")))</f>
        <v>Medium</v>
      </c>
    </row>
    <row r="114" spans="1:8" ht="15.75" customHeight="1" x14ac:dyDescent="0.25">
      <c r="A114" s="19" t="s">
        <v>25</v>
      </c>
      <c r="B114" s="19">
        <v>1116</v>
      </c>
      <c r="C114" s="19">
        <v>2</v>
      </c>
      <c r="D114" s="19">
        <v>1</v>
      </c>
      <c r="E114" s="23" t="s">
        <v>262</v>
      </c>
      <c r="F114" s="19" t="str">
        <f t="shared" si="0"/>
        <v>Medium</v>
      </c>
      <c r="G114" s="19">
        <v>519100</v>
      </c>
      <c r="H114" s="19" t="str">
        <f>IF(' BENGALURU HOUSE PRICE'!$G114&lt;=500000,"Low",
IF(' BENGALURU HOUSE PRICE'!$G114&lt;=1000000,"Medium",
IF(' BENGALURU HOUSE PRICE'!$G114&lt;=3000000,"High","Luxury")))</f>
        <v>Medium</v>
      </c>
    </row>
    <row r="115" spans="1:8" ht="15.75" customHeight="1" x14ac:dyDescent="0.25">
      <c r="A115" s="19" t="s">
        <v>16</v>
      </c>
      <c r="B115" s="19">
        <v>1530</v>
      </c>
      <c r="C115" s="19">
        <v>2</v>
      </c>
      <c r="D115" s="19">
        <v>1</v>
      </c>
      <c r="E115" s="23" t="s">
        <v>27</v>
      </c>
      <c r="F115" s="19" t="str">
        <f t="shared" si="0"/>
        <v>Medium</v>
      </c>
      <c r="G115" s="19">
        <v>459000</v>
      </c>
      <c r="H115" s="19" t="str">
        <f>IF(' BENGALURU HOUSE PRICE'!$G115&lt;=500000,"Low",
IF(' BENGALURU HOUSE PRICE'!$G115&lt;=1000000,"Medium",
IF(' BENGALURU HOUSE PRICE'!$G115&lt;=3000000,"High","Luxury")))</f>
        <v>Low</v>
      </c>
    </row>
    <row r="116" spans="1:8" ht="15.75" customHeight="1" x14ac:dyDescent="0.25">
      <c r="A116" s="19" t="s">
        <v>285</v>
      </c>
      <c r="B116" s="19">
        <v>3700</v>
      </c>
      <c r="C116" s="19">
        <v>4</v>
      </c>
      <c r="D116" s="19">
        <v>1</v>
      </c>
      <c r="E116" s="23" t="s">
        <v>264</v>
      </c>
      <c r="F116" s="19" t="str">
        <f t="shared" si="0"/>
        <v>Large</v>
      </c>
      <c r="G116" s="19">
        <v>2250000</v>
      </c>
      <c r="H116" s="19" t="str">
        <f>IF(' BENGALURU HOUSE PRICE'!$G116&lt;=500000,"Low",
IF(' BENGALURU HOUSE PRICE'!$G116&lt;=1000000,"Medium",
IF(' BENGALURU HOUSE PRICE'!$G116&lt;=3000000,"High","Luxury")))</f>
        <v>High</v>
      </c>
    </row>
    <row r="117" spans="1:8" ht="15.75" customHeight="1" x14ac:dyDescent="0.25">
      <c r="A117" s="19" t="s">
        <v>22</v>
      </c>
      <c r="B117" s="19">
        <v>2497</v>
      </c>
      <c r="C117" s="19">
        <v>3</v>
      </c>
      <c r="D117" s="19">
        <v>2</v>
      </c>
      <c r="E117" s="23" t="s">
        <v>27</v>
      </c>
      <c r="F117" s="19" t="str">
        <f t="shared" si="0"/>
        <v>Large</v>
      </c>
      <c r="G117" s="19">
        <v>1400000</v>
      </c>
      <c r="H117" s="19" t="str">
        <f>IF(' BENGALURU HOUSE PRICE'!$G117&lt;=500000,"Low",
IF(' BENGALURU HOUSE PRICE'!$G117&lt;=1000000,"Medium",
IF(' BENGALURU HOUSE PRICE'!$G117&lt;=3000000,"High","Luxury")))</f>
        <v>High</v>
      </c>
    </row>
    <row r="118" spans="1:8" ht="15.75" customHeight="1" x14ac:dyDescent="0.25">
      <c r="A118" s="19" t="s">
        <v>148</v>
      </c>
      <c r="B118" s="19">
        <v>1540</v>
      </c>
      <c r="C118" s="19">
        <v>2</v>
      </c>
      <c r="D118" s="19">
        <v>3</v>
      </c>
      <c r="E118" s="23" t="s">
        <v>27</v>
      </c>
      <c r="F118" s="19" t="str">
        <f t="shared" si="0"/>
        <v>Medium</v>
      </c>
      <c r="G118" s="19">
        <v>640000</v>
      </c>
      <c r="H118" s="19" t="str">
        <f>IF(' BENGALURU HOUSE PRICE'!$G118&lt;=500000,"Low",
IF(' BENGALURU HOUSE PRICE'!$G118&lt;=1000000,"Medium",
IF(' BENGALURU HOUSE PRICE'!$G118&lt;=3000000,"High","Luxury")))</f>
        <v>Medium</v>
      </c>
    </row>
    <row r="119" spans="1:8" ht="15.75" customHeight="1" x14ac:dyDescent="0.25">
      <c r="A119" s="19" t="s">
        <v>23</v>
      </c>
      <c r="B119" s="19">
        <v>1436</v>
      </c>
      <c r="C119" s="19">
        <v>3</v>
      </c>
      <c r="D119" s="19">
        <v>1</v>
      </c>
      <c r="E119" s="23" t="s">
        <v>27</v>
      </c>
      <c r="F119" s="19" t="str">
        <f t="shared" si="0"/>
        <v>Medium</v>
      </c>
      <c r="G119" s="19">
        <v>747500</v>
      </c>
      <c r="H119" s="19" t="str">
        <f>IF(' BENGALURU HOUSE PRICE'!$G119&lt;=500000,"Low",
IF(' BENGALURU HOUSE PRICE'!$G119&lt;=1000000,"Medium",
IF(' BENGALURU HOUSE PRICE'!$G119&lt;=3000000,"High","Luxury")))</f>
        <v>Medium</v>
      </c>
    </row>
    <row r="120" spans="1:8" ht="15.75" customHeight="1" x14ac:dyDescent="0.25">
      <c r="A120" s="19" t="s">
        <v>171</v>
      </c>
      <c r="B120" s="19">
        <v>1100</v>
      </c>
      <c r="C120" s="19">
        <v>2</v>
      </c>
      <c r="D120" s="19">
        <v>2</v>
      </c>
      <c r="E120" s="23" t="s">
        <v>262</v>
      </c>
      <c r="F120" s="19" t="str">
        <f t="shared" si="0"/>
        <v>Medium</v>
      </c>
      <c r="G120" s="19">
        <v>750000</v>
      </c>
      <c r="H120" s="19" t="str">
        <f>IF(' BENGALURU HOUSE PRICE'!$G120&lt;=500000,"Low",
IF(' BENGALURU HOUSE PRICE'!$G120&lt;=1000000,"Medium",
IF(' BENGALURU HOUSE PRICE'!$G120&lt;=3000000,"High","Luxury")))</f>
        <v>Medium</v>
      </c>
    </row>
    <row r="121" spans="1:8" ht="15.75" customHeight="1" x14ac:dyDescent="0.25">
      <c r="A121" s="19" t="s">
        <v>111</v>
      </c>
      <c r="B121" s="19">
        <v>276</v>
      </c>
      <c r="C121" s="19">
        <v>3</v>
      </c>
      <c r="D121" s="19">
        <v>3</v>
      </c>
      <c r="E121" s="23" t="s">
        <v>262</v>
      </c>
      <c r="F121" s="19" t="str">
        <f t="shared" si="0"/>
        <v>Small</v>
      </c>
      <c r="G121" s="19">
        <v>230000</v>
      </c>
      <c r="H121" s="19" t="str">
        <f>IF(' BENGALURU HOUSE PRICE'!$G121&lt;=500000,"Low",
IF(' BENGALURU HOUSE PRICE'!$G121&lt;=1000000,"Medium",
IF(' BENGALURU HOUSE PRICE'!$G121&lt;=3000000,"High","Luxury")))</f>
        <v>Low</v>
      </c>
    </row>
    <row r="122" spans="1:8" ht="15.75" customHeight="1" x14ac:dyDescent="0.25">
      <c r="A122" s="19" t="s">
        <v>23</v>
      </c>
      <c r="B122" s="19">
        <v>1427</v>
      </c>
      <c r="C122" s="19">
        <v>3</v>
      </c>
      <c r="D122" s="19">
        <v>2</v>
      </c>
      <c r="E122" s="23" t="s">
        <v>27</v>
      </c>
      <c r="F122" s="19" t="str">
        <f t="shared" si="0"/>
        <v>Medium</v>
      </c>
      <c r="G122" s="19">
        <v>1200000</v>
      </c>
      <c r="H122" s="19" t="str">
        <f>IF(' BENGALURU HOUSE PRICE'!$G122&lt;=500000,"Low",
IF(' BENGALURU HOUSE PRICE'!$G122&lt;=1000000,"Medium",
IF(' BENGALURU HOUSE PRICE'!$G122&lt;=3000000,"High","Luxury")))</f>
        <v>High</v>
      </c>
    </row>
    <row r="123" spans="1:8" ht="15.75" customHeight="1" x14ac:dyDescent="0.25">
      <c r="A123" s="19" t="s">
        <v>35</v>
      </c>
      <c r="B123" s="19">
        <v>2061</v>
      </c>
      <c r="C123" s="19">
        <v>3</v>
      </c>
      <c r="D123" s="19">
        <v>1</v>
      </c>
      <c r="E123" s="23" t="s">
        <v>27</v>
      </c>
      <c r="F123" s="19" t="str">
        <f t="shared" si="0"/>
        <v>Large</v>
      </c>
      <c r="G123" s="19">
        <v>2000000</v>
      </c>
      <c r="H123" s="19" t="str">
        <f>IF(' BENGALURU HOUSE PRICE'!$G123&lt;=500000,"Low",
IF(' BENGALURU HOUSE PRICE'!$G123&lt;=1000000,"Medium",
IF(' BENGALURU HOUSE PRICE'!$G123&lt;=3000000,"High","Luxury")))</f>
        <v>High</v>
      </c>
    </row>
    <row r="124" spans="1:8" ht="15.75" customHeight="1" x14ac:dyDescent="0.25">
      <c r="A124" s="19" t="s">
        <v>18</v>
      </c>
      <c r="B124" s="19">
        <v>1559</v>
      </c>
      <c r="C124" s="19">
        <v>4</v>
      </c>
      <c r="D124" s="19">
        <v>0</v>
      </c>
      <c r="E124" s="23" t="s">
        <v>264</v>
      </c>
      <c r="F124" s="19" t="str">
        <f t="shared" si="0"/>
        <v>Medium</v>
      </c>
      <c r="G124" s="19">
        <v>4770000</v>
      </c>
      <c r="H124" s="19" t="str">
        <f>IF(' BENGALURU HOUSE PRICE'!$G124&lt;=500000,"Low",
IF(' BENGALURU HOUSE PRICE'!$G124&lt;=1000000,"Medium",
IF(' BENGALURU HOUSE PRICE'!$G124&lt;=3000000,"High","Luxury")))</f>
        <v>Luxury</v>
      </c>
    </row>
    <row r="125" spans="1:8" ht="15.75" customHeight="1" x14ac:dyDescent="0.25">
      <c r="A125" s="19" t="s">
        <v>286</v>
      </c>
      <c r="B125" s="19">
        <v>2650</v>
      </c>
      <c r="C125" s="19">
        <v>4</v>
      </c>
      <c r="D125" s="19">
        <v>2</v>
      </c>
      <c r="E125" s="23" t="s">
        <v>264</v>
      </c>
      <c r="F125" s="19" t="str">
        <f t="shared" si="0"/>
        <v>Large</v>
      </c>
      <c r="G125" s="19">
        <v>1500000</v>
      </c>
      <c r="H125" s="19" t="str">
        <f>IF(' BENGALURU HOUSE PRICE'!$G125&lt;=500000,"Low",
IF(' BENGALURU HOUSE PRICE'!$G125&lt;=1000000,"Medium",
IF(' BENGALURU HOUSE PRICE'!$G125&lt;=3000000,"High","Luxury")))</f>
        <v>High</v>
      </c>
    </row>
    <row r="126" spans="1:8" ht="15.75" customHeight="1" x14ac:dyDescent="0.25">
      <c r="A126" s="19" t="s">
        <v>86</v>
      </c>
      <c r="B126" s="19">
        <v>1282</v>
      </c>
      <c r="C126" s="19">
        <v>2</v>
      </c>
      <c r="D126" s="19">
        <v>2</v>
      </c>
      <c r="E126" s="23" t="s">
        <v>27</v>
      </c>
      <c r="F126" s="19" t="str">
        <f t="shared" si="0"/>
        <v>Medium</v>
      </c>
      <c r="G126" s="19">
        <v>685200</v>
      </c>
      <c r="H126" s="19" t="str">
        <f>IF(' BENGALURU HOUSE PRICE'!$G126&lt;=500000,"Low",
IF(' BENGALURU HOUSE PRICE'!$G126&lt;=1000000,"Medium",
IF(' BENGALURU HOUSE PRICE'!$G126&lt;=3000000,"High","Luxury")))</f>
        <v>Medium</v>
      </c>
    </row>
    <row r="127" spans="1:8" ht="15.75" customHeight="1" x14ac:dyDescent="0.25">
      <c r="A127" s="19" t="s">
        <v>136</v>
      </c>
      <c r="B127" s="19">
        <v>1050</v>
      </c>
      <c r="C127" s="19">
        <v>2</v>
      </c>
      <c r="D127" s="19">
        <v>1</v>
      </c>
      <c r="E127" s="23" t="s">
        <v>262</v>
      </c>
      <c r="F127" s="19" t="str">
        <f t="shared" si="0"/>
        <v>Medium</v>
      </c>
      <c r="G127" s="19">
        <v>340000</v>
      </c>
      <c r="H127" s="19" t="str">
        <f>IF(' BENGALURU HOUSE PRICE'!$G127&lt;=500000,"Low",
IF(' BENGALURU HOUSE PRICE'!$G127&lt;=1000000,"Medium",
IF(' BENGALURU HOUSE PRICE'!$G127&lt;=3000000,"High","Luxury")))</f>
        <v>Low</v>
      </c>
    </row>
    <row r="128" spans="1:8" ht="15.75" customHeight="1" x14ac:dyDescent="0.25">
      <c r="A128" s="19" t="s">
        <v>166</v>
      </c>
      <c r="B128" s="19">
        <v>1600</v>
      </c>
      <c r="C128" s="19">
        <v>3</v>
      </c>
      <c r="D128" s="19">
        <v>2</v>
      </c>
      <c r="E128" s="23" t="s">
        <v>27</v>
      </c>
      <c r="F128" s="19" t="str">
        <f t="shared" si="0"/>
        <v>Medium</v>
      </c>
      <c r="G128" s="19">
        <v>650000</v>
      </c>
      <c r="H128" s="19" t="str">
        <f>IF(' BENGALURU HOUSE PRICE'!$G128&lt;=500000,"Low",
IF(' BENGALURU HOUSE PRICE'!$G128&lt;=1000000,"Medium",
IF(' BENGALURU HOUSE PRICE'!$G128&lt;=3000000,"High","Luxury")))</f>
        <v>Medium</v>
      </c>
    </row>
    <row r="129" spans="1:8" ht="15.75" customHeight="1" x14ac:dyDescent="0.25">
      <c r="A129" s="19" t="s">
        <v>287</v>
      </c>
      <c r="B129" s="19">
        <v>945</v>
      </c>
      <c r="C129" s="19">
        <v>2</v>
      </c>
      <c r="D129" s="19">
        <v>1</v>
      </c>
      <c r="E129" s="23" t="s">
        <v>262</v>
      </c>
      <c r="F129" s="19" t="str">
        <f t="shared" si="0"/>
        <v>Small</v>
      </c>
      <c r="G129" s="19">
        <v>540000</v>
      </c>
      <c r="H129" s="19" t="str">
        <f>IF(' BENGALURU HOUSE PRICE'!$G129&lt;=500000,"Low",
IF(' BENGALURU HOUSE PRICE'!$G129&lt;=1000000,"Medium",
IF(' BENGALURU HOUSE PRICE'!$G129&lt;=3000000,"High","Luxury")))</f>
        <v>Medium</v>
      </c>
    </row>
    <row r="130" spans="1:8" ht="15.75" customHeight="1" x14ac:dyDescent="0.25">
      <c r="A130" s="19" t="s">
        <v>288</v>
      </c>
      <c r="B130" s="19">
        <v>1500</v>
      </c>
      <c r="C130" s="19">
        <v>2</v>
      </c>
      <c r="D130" s="19">
        <v>1</v>
      </c>
      <c r="E130" s="23" t="s">
        <v>262</v>
      </c>
      <c r="F130" s="19" t="str">
        <f t="shared" si="0"/>
        <v>Medium</v>
      </c>
      <c r="G130" s="19">
        <v>780000</v>
      </c>
      <c r="H130" s="19" t="str">
        <f>IF(' BENGALURU HOUSE PRICE'!$G130&lt;=500000,"Low",
IF(' BENGALURU HOUSE PRICE'!$G130&lt;=1000000,"Medium",
IF(' BENGALURU HOUSE PRICE'!$G130&lt;=3000000,"High","Luxury")))</f>
        <v>Medium</v>
      </c>
    </row>
    <row r="131" spans="1:8" ht="15.75" customHeight="1" x14ac:dyDescent="0.25">
      <c r="A131" s="19" t="s">
        <v>289</v>
      </c>
      <c r="B131" s="19">
        <v>950</v>
      </c>
      <c r="C131" s="19">
        <v>7</v>
      </c>
      <c r="D131" s="19">
        <v>0</v>
      </c>
      <c r="E131" s="23" t="s">
        <v>290</v>
      </c>
      <c r="F131" s="19" t="str">
        <f t="shared" si="0"/>
        <v>Small</v>
      </c>
      <c r="G131" s="19">
        <v>1150000</v>
      </c>
      <c r="H131" s="19" t="str">
        <f>IF(' BENGALURU HOUSE PRICE'!$G131&lt;=500000,"Low",
IF(' BENGALURU HOUSE PRICE'!$G131&lt;=1000000,"Medium",
IF(' BENGALURU HOUSE PRICE'!$G131&lt;=3000000,"High","Luxury")))</f>
        <v>High</v>
      </c>
    </row>
    <row r="132" spans="1:8" ht="15.75" customHeight="1" x14ac:dyDescent="0.25">
      <c r="A132" s="19" t="s">
        <v>194</v>
      </c>
      <c r="B132" s="19">
        <v>1870</v>
      </c>
      <c r="C132" s="19">
        <v>3</v>
      </c>
      <c r="D132" s="19">
        <v>3</v>
      </c>
      <c r="E132" s="23" t="s">
        <v>27</v>
      </c>
      <c r="F132" s="19" t="str">
        <f t="shared" si="0"/>
        <v>Medium</v>
      </c>
      <c r="G132" s="19">
        <v>1100000</v>
      </c>
      <c r="H132" s="19" t="str">
        <f>IF(' BENGALURU HOUSE PRICE'!$G132&lt;=500000,"Low",
IF(' BENGALURU HOUSE PRICE'!$G132&lt;=1000000,"Medium",
IF(' BENGALURU HOUSE PRICE'!$G132&lt;=3000000,"High","Luxury")))</f>
        <v>High</v>
      </c>
    </row>
    <row r="133" spans="1:8" ht="15.75" customHeight="1" x14ac:dyDescent="0.25">
      <c r="A133" s="19" t="s">
        <v>210</v>
      </c>
      <c r="B133" s="19">
        <v>1600</v>
      </c>
      <c r="C133" s="19">
        <v>3</v>
      </c>
      <c r="D133" s="19">
        <v>1</v>
      </c>
      <c r="E133" s="23" t="s">
        <v>27</v>
      </c>
      <c r="F133" s="19" t="str">
        <f t="shared" si="0"/>
        <v>Medium</v>
      </c>
      <c r="G133" s="19">
        <v>750000</v>
      </c>
      <c r="H133" s="19" t="str">
        <f>IF(' BENGALURU HOUSE PRICE'!$G133&lt;=500000,"Low",
IF(' BENGALURU HOUSE PRICE'!$G133&lt;=1000000,"Medium",
IF(' BENGALURU HOUSE PRICE'!$G133&lt;=3000000,"High","Luxury")))</f>
        <v>Medium</v>
      </c>
    </row>
    <row r="134" spans="1:8" ht="15.75" customHeight="1" x14ac:dyDescent="0.25">
      <c r="A134" s="19" t="s">
        <v>16</v>
      </c>
      <c r="B134" s="19">
        <v>880</v>
      </c>
      <c r="C134" s="19">
        <v>1</v>
      </c>
      <c r="D134" s="19">
        <v>1</v>
      </c>
      <c r="E134" s="23" t="s">
        <v>262</v>
      </c>
      <c r="F134" s="19" t="str">
        <f t="shared" si="0"/>
        <v>Small</v>
      </c>
      <c r="G134" s="19">
        <v>165000</v>
      </c>
      <c r="H134" s="19" t="str">
        <f>IF(' BENGALURU HOUSE PRICE'!$G134&lt;=500000,"Low",
IF(' BENGALURU HOUSE PRICE'!$G134&lt;=1000000,"Medium",
IF(' BENGALURU HOUSE PRICE'!$G134&lt;=3000000,"High","Luxury")))</f>
        <v>Low</v>
      </c>
    </row>
    <row r="135" spans="1:8" ht="15.75" customHeight="1" x14ac:dyDescent="0.25">
      <c r="A135" s="19" t="s">
        <v>291</v>
      </c>
      <c r="B135" s="19">
        <v>1200</v>
      </c>
      <c r="C135" s="19">
        <v>4</v>
      </c>
      <c r="D135" s="19">
        <v>0</v>
      </c>
      <c r="E135" s="23" t="s">
        <v>264</v>
      </c>
      <c r="F135" s="19" t="str">
        <f t="shared" si="0"/>
        <v>Medium</v>
      </c>
      <c r="G135" s="19">
        <v>2100000</v>
      </c>
      <c r="H135" s="19" t="str">
        <f>IF(' BENGALURU HOUSE PRICE'!$G135&lt;=500000,"Low",
IF(' BENGALURU HOUSE PRICE'!$G135&lt;=1000000,"Medium",
IF(' BENGALURU HOUSE PRICE'!$G135&lt;=3000000,"High","Luxury")))</f>
        <v>High</v>
      </c>
    </row>
    <row r="136" spans="1:8" ht="15.75" customHeight="1" x14ac:dyDescent="0.25">
      <c r="A136" s="19" t="s">
        <v>160</v>
      </c>
      <c r="B136" s="19">
        <v>1535</v>
      </c>
      <c r="C136" s="19">
        <v>3</v>
      </c>
      <c r="D136" s="19">
        <v>2</v>
      </c>
      <c r="E136" s="23" t="s">
        <v>27</v>
      </c>
      <c r="F136" s="19" t="str">
        <f t="shared" si="0"/>
        <v>Medium</v>
      </c>
      <c r="G136" s="19">
        <v>830000</v>
      </c>
      <c r="H136" s="19" t="str">
        <f>IF(' BENGALURU HOUSE PRICE'!$G136&lt;=500000,"Low",
IF(' BENGALURU HOUSE PRICE'!$G136&lt;=1000000,"Medium",
IF(' BENGALURU HOUSE PRICE'!$G136&lt;=3000000,"High","Luxury")))</f>
        <v>Medium</v>
      </c>
    </row>
    <row r="137" spans="1:8" ht="15.75" customHeight="1" x14ac:dyDescent="0.25">
      <c r="A137" s="19" t="s">
        <v>19</v>
      </c>
      <c r="B137" s="19">
        <v>950</v>
      </c>
      <c r="C137" s="19">
        <v>2</v>
      </c>
      <c r="D137" s="19">
        <v>1</v>
      </c>
      <c r="E137" s="23" t="s">
        <v>262</v>
      </c>
      <c r="F137" s="19" t="str">
        <f t="shared" si="0"/>
        <v>Small</v>
      </c>
      <c r="G137" s="19">
        <v>570000</v>
      </c>
      <c r="H137" s="19" t="str">
        <f>IF(' BENGALURU HOUSE PRICE'!$G137&lt;=500000,"Low",
IF(' BENGALURU HOUSE PRICE'!$G137&lt;=1000000,"Medium",
IF(' BENGALURU HOUSE PRICE'!$G137&lt;=3000000,"High","Luxury")))</f>
        <v>Medium</v>
      </c>
    </row>
    <row r="138" spans="1:8" ht="15.75" customHeight="1" x14ac:dyDescent="0.25">
      <c r="A138" s="19" t="s">
        <v>86</v>
      </c>
      <c r="B138" s="19">
        <v>1360</v>
      </c>
      <c r="C138" s="19">
        <v>2</v>
      </c>
      <c r="D138" s="19">
        <v>1</v>
      </c>
      <c r="E138" s="23" t="s">
        <v>262</v>
      </c>
      <c r="F138" s="19" t="str">
        <f t="shared" si="0"/>
        <v>Medium</v>
      </c>
      <c r="G138" s="19">
        <v>650000</v>
      </c>
      <c r="H138" s="19" t="str">
        <f>IF(' BENGALURU HOUSE PRICE'!$G138&lt;=500000,"Low",
IF(' BENGALURU HOUSE PRICE'!$G138&lt;=1000000,"Medium",
IF(' BENGALURU HOUSE PRICE'!$G138&lt;=3000000,"High","Luxury")))</f>
        <v>Medium</v>
      </c>
    </row>
    <row r="139" spans="1:8" ht="15.75" customHeight="1" x14ac:dyDescent="0.25">
      <c r="A139" s="19" t="s">
        <v>33</v>
      </c>
      <c r="B139" s="19">
        <v>1559</v>
      </c>
      <c r="C139" s="19">
        <v>2</v>
      </c>
      <c r="D139" s="19">
        <v>0</v>
      </c>
      <c r="E139" s="23" t="s">
        <v>262</v>
      </c>
      <c r="F139" s="19" t="str">
        <f t="shared" si="0"/>
        <v>Medium</v>
      </c>
      <c r="G139" s="19">
        <v>540050</v>
      </c>
      <c r="H139" s="19" t="str">
        <f>IF(' BENGALURU HOUSE PRICE'!$G139&lt;=500000,"Low",
IF(' BENGALURU HOUSE PRICE'!$G139&lt;=1000000,"Medium",
IF(' BENGALURU HOUSE PRICE'!$G139&lt;=3000000,"High","Luxury")))</f>
        <v>Medium</v>
      </c>
    </row>
    <row r="140" spans="1:8" ht="15.75" customHeight="1" x14ac:dyDescent="0.25">
      <c r="A140" s="19" t="s">
        <v>67</v>
      </c>
      <c r="B140" s="19">
        <v>1280</v>
      </c>
      <c r="C140" s="19">
        <v>3</v>
      </c>
      <c r="D140" s="19">
        <v>1</v>
      </c>
      <c r="E140" s="23" t="s">
        <v>27</v>
      </c>
      <c r="F140" s="19" t="str">
        <f t="shared" si="0"/>
        <v>Medium</v>
      </c>
      <c r="G140" s="19">
        <v>504000</v>
      </c>
      <c r="H140" s="19" t="str">
        <f>IF(' BENGALURU HOUSE PRICE'!$G140&lt;=500000,"Low",
IF(' BENGALURU HOUSE PRICE'!$G140&lt;=1000000,"Medium",
IF(' BENGALURU HOUSE PRICE'!$G140&lt;=3000000,"High","Luxury")))</f>
        <v>Medium</v>
      </c>
    </row>
    <row r="141" spans="1:8" ht="15.75" customHeight="1" x14ac:dyDescent="0.25">
      <c r="A141" s="19" t="s">
        <v>75</v>
      </c>
      <c r="B141" s="19">
        <v>1260</v>
      </c>
      <c r="C141" s="19">
        <v>2</v>
      </c>
      <c r="D141" s="19">
        <v>2</v>
      </c>
      <c r="E141" s="23" t="s">
        <v>27</v>
      </c>
      <c r="F141" s="19" t="str">
        <f t="shared" si="0"/>
        <v>Medium</v>
      </c>
      <c r="G141" s="19">
        <v>850500</v>
      </c>
      <c r="H141" s="19" t="str">
        <f>IF(' BENGALURU HOUSE PRICE'!$G141&lt;=500000,"Low",
IF(' BENGALURU HOUSE PRICE'!$G141&lt;=1000000,"Medium",
IF(' BENGALURU HOUSE PRICE'!$G141&lt;=3000000,"High","Luxury")))</f>
        <v>Medium</v>
      </c>
    </row>
    <row r="142" spans="1:8" ht="15.75" customHeight="1" x14ac:dyDescent="0.25">
      <c r="A142" s="19" t="s">
        <v>111</v>
      </c>
      <c r="B142" s="19">
        <v>5000</v>
      </c>
      <c r="C142" s="19">
        <v>8</v>
      </c>
      <c r="D142" s="19">
        <v>2</v>
      </c>
      <c r="E142" s="23" t="s">
        <v>271</v>
      </c>
      <c r="F142" s="19" t="str">
        <f t="shared" si="0"/>
        <v>Large</v>
      </c>
      <c r="G142" s="19">
        <v>2500000</v>
      </c>
      <c r="H142" s="19" t="str">
        <f>IF(' BENGALURU HOUSE PRICE'!$G142&lt;=500000,"Low",
IF(' BENGALURU HOUSE PRICE'!$G142&lt;=1000000,"Medium",
IF(' BENGALURU HOUSE PRICE'!$G142&lt;=3000000,"High","Luxury")))</f>
        <v>High</v>
      </c>
    </row>
    <row r="143" spans="1:8" ht="15.75" customHeight="1" x14ac:dyDescent="0.25">
      <c r="A143" s="19" t="s">
        <v>26</v>
      </c>
      <c r="B143" s="19">
        <v>3050</v>
      </c>
      <c r="C143" s="19">
        <v>5</v>
      </c>
      <c r="D143" s="19">
        <v>1</v>
      </c>
      <c r="E143" s="23" t="s">
        <v>292</v>
      </c>
      <c r="F143" s="19" t="str">
        <f t="shared" si="0"/>
        <v>Large</v>
      </c>
      <c r="G143" s="19">
        <v>2130000</v>
      </c>
      <c r="H143" s="19" t="str">
        <f>IF(' BENGALURU HOUSE PRICE'!$G143&lt;=500000,"Low",
IF(' BENGALURU HOUSE PRICE'!$G143&lt;=1000000,"Medium",
IF(' BENGALURU HOUSE PRICE'!$G143&lt;=3000000,"High","Luxury")))</f>
        <v>High</v>
      </c>
    </row>
    <row r="144" spans="1:8" ht="15.75" customHeight="1" x14ac:dyDescent="0.25">
      <c r="A144" s="19" t="s">
        <v>145</v>
      </c>
      <c r="B144" s="19">
        <v>1563</v>
      </c>
      <c r="C144" s="19">
        <v>3</v>
      </c>
      <c r="D144" s="19">
        <v>1</v>
      </c>
      <c r="E144" s="23" t="s">
        <v>27</v>
      </c>
      <c r="F144" s="19" t="str">
        <f t="shared" si="0"/>
        <v>Medium</v>
      </c>
      <c r="G144" s="19">
        <v>1050000</v>
      </c>
      <c r="H144" s="19" t="str">
        <f>IF(' BENGALURU HOUSE PRICE'!$G144&lt;=500000,"Low",
IF(' BENGALURU HOUSE PRICE'!$G144&lt;=1000000,"Medium",
IF(' BENGALURU HOUSE PRICE'!$G144&lt;=3000000,"High","Luxury")))</f>
        <v>High</v>
      </c>
    </row>
    <row r="145" spans="1:8" ht="15.75" customHeight="1" x14ac:dyDescent="0.25">
      <c r="A145" s="19" t="s">
        <v>279</v>
      </c>
      <c r="B145" s="19">
        <v>1000</v>
      </c>
      <c r="C145" s="19">
        <v>2</v>
      </c>
      <c r="D145" s="19">
        <v>1</v>
      </c>
      <c r="E145" s="23" t="s">
        <v>262</v>
      </c>
      <c r="F145" s="19" t="str">
        <f t="shared" si="0"/>
        <v>Small</v>
      </c>
      <c r="G145" s="19">
        <v>600000</v>
      </c>
      <c r="H145" s="19" t="str">
        <f>IF(' BENGALURU HOUSE PRICE'!$G145&lt;=500000,"Low",
IF(' BENGALURU HOUSE PRICE'!$G145&lt;=1000000,"Medium",
IF(' BENGALURU HOUSE PRICE'!$G145&lt;=3000000,"High","Luxury")))</f>
        <v>Medium</v>
      </c>
    </row>
    <row r="146" spans="1:8" ht="15.75" customHeight="1" x14ac:dyDescent="0.25">
      <c r="A146" s="19" t="s">
        <v>293</v>
      </c>
      <c r="B146" s="19">
        <v>1167</v>
      </c>
      <c r="C146" s="19">
        <v>2</v>
      </c>
      <c r="D146" s="19">
        <v>1</v>
      </c>
      <c r="E146" s="23" t="s">
        <v>262</v>
      </c>
      <c r="F146" s="19" t="str">
        <f t="shared" si="0"/>
        <v>Medium</v>
      </c>
      <c r="G146" s="19">
        <v>437600</v>
      </c>
      <c r="H146" s="19" t="str">
        <f>IF(' BENGALURU HOUSE PRICE'!$G146&lt;=500000,"Low",
IF(' BENGALURU HOUSE PRICE'!$G146&lt;=1000000,"Medium",
IF(' BENGALURU HOUSE PRICE'!$G146&lt;=3000000,"High","Luxury")))</f>
        <v>Low</v>
      </c>
    </row>
    <row r="147" spans="1:8" ht="15.75" customHeight="1" x14ac:dyDescent="0.25">
      <c r="A147" s="19" t="s">
        <v>294</v>
      </c>
      <c r="B147" s="19">
        <v>4000</v>
      </c>
      <c r="C147" s="19">
        <v>7</v>
      </c>
      <c r="D147" s="19">
        <v>2</v>
      </c>
      <c r="E147" s="23" t="s">
        <v>290</v>
      </c>
      <c r="F147" s="19" t="str">
        <f t="shared" si="0"/>
        <v>Large</v>
      </c>
      <c r="G147" s="19">
        <v>2250000</v>
      </c>
      <c r="H147" s="19" t="str">
        <f>IF(' BENGALURU HOUSE PRICE'!$G147&lt;=500000,"Low",
IF(' BENGALURU HOUSE PRICE'!$G147&lt;=1000000,"Medium",
IF(' BENGALURU HOUSE PRICE'!$G147&lt;=3000000,"High","Luxury")))</f>
        <v>High</v>
      </c>
    </row>
    <row r="148" spans="1:8" ht="15.75" customHeight="1" x14ac:dyDescent="0.25">
      <c r="A148" s="19" t="s">
        <v>159</v>
      </c>
      <c r="B148" s="19">
        <v>1828</v>
      </c>
      <c r="C148" s="19">
        <v>3</v>
      </c>
      <c r="D148" s="19">
        <v>2</v>
      </c>
      <c r="E148" s="23" t="s">
        <v>27</v>
      </c>
      <c r="F148" s="19" t="str">
        <f t="shared" si="0"/>
        <v>Medium</v>
      </c>
      <c r="G148" s="19">
        <v>1100000</v>
      </c>
      <c r="H148" s="19" t="str">
        <f>IF(' BENGALURU HOUSE PRICE'!$G148&lt;=500000,"Low",
IF(' BENGALURU HOUSE PRICE'!$G148&lt;=1000000,"Medium",
IF(' BENGALURU HOUSE PRICE'!$G148&lt;=3000000,"High","Luxury")))</f>
        <v>High</v>
      </c>
    </row>
    <row r="149" spans="1:8" ht="15.75" customHeight="1" x14ac:dyDescent="0.25">
      <c r="A149" s="19" t="s">
        <v>149</v>
      </c>
      <c r="B149" s="19">
        <v>890</v>
      </c>
      <c r="C149" s="19">
        <v>2</v>
      </c>
      <c r="D149" s="19">
        <v>1</v>
      </c>
      <c r="E149" s="23" t="s">
        <v>262</v>
      </c>
      <c r="F149" s="19" t="str">
        <f t="shared" si="0"/>
        <v>Small</v>
      </c>
      <c r="G149" s="19">
        <v>350000</v>
      </c>
      <c r="H149" s="19" t="str">
        <f>IF(' BENGALURU HOUSE PRICE'!$G149&lt;=500000,"Low",
IF(' BENGALURU HOUSE PRICE'!$G149&lt;=1000000,"Medium",
IF(' BENGALURU HOUSE PRICE'!$G149&lt;=3000000,"High","Luxury")))</f>
        <v>Low</v>
      </c>
    </row>
    <row r="150" spans="1:8" ht="15.75" customHeight="1" x14ac:dyDescent="0.25">
      <c r="A150" s="19" t="s">
        <v>54</v>
      </c>
      <c r="B150" s="19">
        <v>1612</v>
      </c>
      <c r="C150" s="19">
        <v>3</v>
      </c>
      <c r="D150" s="19">
        <v>3</v>
      </c>
      <c r="E150" s="23" t="s">
        <v>27</v>
      </c>
      <c r="F150" s="19" t="str">
        <f t="shared" si="0"/>
        <v>Medium</v>
      </c>
      <c r="G150" s="19">
        <v>467400</v>
      </c>
      <c r="H150" s="19" t="str">
        <f>IF(' BENGALURU HOUSE PRICE'!$G150&lt;=500000,"Low",
IF(' BENGALURU HOUSE PRICE'!$G150&lt;=1000000,"Medium",
IF(' BENGALURU HOUSE PRICE'!$G150&lt;=3000000,"High","Luxury")))</f>
        <v>Low</v>
      </c>
    </row>
    <row r="151" spans="1:8" ht="15.75" customHeight="1" x14ac:dyDescent="0.25">
      <c r="A151" s="19" t="s">
        <v>295</v>
      </c>
      <c r="B151" s="19">
        <v>1034</v>
      </c>
      <c r="C151" s="19">
        <v>5</v>
      </c>
      <c r="D151" s="19">
        <v>2</v>
      </c>
      <c r="E151" s="23" t="s">
        <v>266</v>
      </c>
      <c r="F151" s="19" t="str">
        <f t="shared" si="0"/>
        <v>Medium</v>
      </c>
      <c r="G151" s="19">
        <v>1850000</v>
      </c>
      <c r="H151" s="19" t="str">
        <f>IF(' BENGALURU HOUSE PRICE'!$G151&lt;=500000,"Low",
IF(' BENGALURU HOUSE PRICE'!$G151&lt;=1000000,"Medium",
IF(' BENGALURU HOUSE PRICE'!$G151&lt;=3000000,"High","Luxury")))</f>
        <v>High</v>
      </c>
    </row>
    <row r="152" spans="1:8" ht="15.75" customHeight="1" x14ac:dyDescent="0.25">
      <c r="A152" s="19" t="s">
        <v>182</v>
      </c>
      <c r="B152" s="19">
        <v>1710</v>
      </c>
      <c r="C152" s="19">
        <v>4</v>
      </c>
      <c r="D152" s="19">
        <v>2</v>
      </c>
      <c r="E152" s="23" t="s">
        <v>27</v>
      </c>
      <c r="F152" s="19" t="str">
        <f t="shared" si="0"/>
        <v>Medium</v>
      </c>
      <c r="G152" s="19">
        <v>913100</v>
      </c>
      <c r="H152" s="19" t="str">
        <f>IF(' BENGALURU HOUSE PRICE'!$G152&lt;=500000,"Low",
IF(' BENGALURU HOUSE PRICE'!$G152&lt;=1000000,"Medium",
IF(' BENGALURU HOUSE PRICE'!$G152&lt;=3000000,"High","Luxury")))</f>
        <v>Medium</v>
      </c>
    </row>
    <row r="153" spans="1:8" ht="15.75" customHeight="1" x14ac:dyDescent="0.25">
      <c r="A153" s="19" t="s">
        <v>296</v>
      </c>
      <c r="B153" s="19">
        <v>957</v>
      </c>
      <c r="C153" s="19">
        <v>2</v>
      </c>
      <c r="D153" s="19">
        <v>1</v>
      </c>
      <c r="E153" s="23" t="s">
        <v>262</v>
      </c>
      <c r="F153" s="19" t="str">
        <f t="shared" si="0"/>
        <v>Small</v>
      </c>
      <c r="G153" s="19">
        <v>580000</v>
      </c>
      <c r="H153" s="19" t="str">
        <f>IF(' BENGALURU HOUSE PRICE'!$G153&lt;=500000,"Low",
IF(' BENGALURU HOUSE PRICE'!$G153&lt;=1000000,"Medium",
IF(' BENGALURU HOUSE PRICE'!$G153&lt;=3000000,"High","Luxury")))</f>
        <v>Medium</v>
      </c>
    </row>
    <row r="154" spans="1:8" ht="15.75" customHeight="1" x14ac:dyDescent="0.25">
      <c r="A154" s="19" t="s">
        <v>87</v>
      </c>
      <c r="B154" s="19">
        <v>1250</v>
      </c>
      <c r="C154" s="19">
        <v>2</v>
      </c>
      <c r="D154" s="19">
        <v>3</v>
      </c>
      <c r="E154" s="23" t="s">
        <v>27</v>
      </c>
      <c r="F154" s="19" t="str">
        <f t="shared" si="0"/>
        <v>Medium</v>
      </c>
      <c r="G154" s="19">
        <v>440000</v>
      </c>
      <c r="H154" s="19" t="str">
        <f>IF(' BENGALURU HOUSE PRICE'!$G154&lt;=500000,"Low",
IF(' BENGALURU HOUSE PRICE'!$G154&lt;=1000000,"Medium",
IF(' BENGALURU HOUSE PRICE'!$G154&lt;=3000000,"High","Luxury")))</f>
        <v>Low</v>
      </c>
    </row>
    <row r="155" spans="1:8" ht="15.75" customHeight="1" x14ac:dyDescent="0.25">
      <c r="A155" s="19" t="s">
        <v>209</v>
      </c>
      <c r="B155" s="19">
        <v>2795</v>
      </c>
      <c r="C155" s="19">
        <v>4</v>
      </c>
      <c r="D155" s="19">
        <v>2</v>
      </c>
      <c r="E155" s="23" t="s">
        <v>27</v>
      </c>
      <c r="F155" s="19" t="str">
        <f t="shared" si="0"/>
        <v>Large</v>
      </c>
      <c r="G155" s="19">
        <v>2350000</v>
      </c>
      <c r="H155" s="19" t="str">
        <f>IF(' BENGALURU HOUSE PRICE'!$G155&lt;=500000,"Low",
IF(' BENGALURU HOUSE PRICE'!$G155&lt;=1000000,"Medium",
IF(' BENGALURU HOUSE PRICE'!$G155&lt;=3000000,"High","Luxury")))</f>
        <v>High</v>
      </c>
    </row>
    <row r="156" spans="1:8" ht="15.75" customHeight="1" x14ac:dyDescent="0.25">
      <c r="A156" s="19" t="s">
        <v>123</v>
      </c>
      <c r="B156" s="19">
        <v>1125</v>
      </c>
      <c r="C156" s="19">
        <v>2</v>
      </c>
      <c r="D156" s="19">
        <v>2</v>
      </c>
      <c r="E156" s="23" t="s">
        <v>262</v>
      </c>
      <c r="F156" s="19" t="str">
        <f t="shared" si="0"/>
        <v>Medium</v>
      </c>
      <c r="G156" s="19">
        <v>500000</v>
      </c>
      <c r="H156" s="19" t="str">
        <f>IF(' BENGALURU HOUSE PRICE'!$G156&lt;=500000,"Low",
IF(' BENGALURU HOUSE PRICE'!$G156&lt;=1000000,"Medium",
IF(' BENGALURU HOUSE PRICE'!$G156&lt;=3000000,"High","Luxury")))</f>
        <v>Low</v>
      </c>
    </row>
    <row r="157" spans="1:8" ht="15.75" customHeight="1" x14ac:dyDescent="0.25">
      <c r="A157" s="19" t="s">
        <v>96</v>
      </c>
      <c r="B157" s="19">
        <v>1020</v>
      </c>
      <c r="C157" s="19">
        <v>2</v>
      </c>
      <c r="D157" s="19">
        <v>1</v>
      </c>
      <c r="E157" s="23" t="s">
        <v>262</v>
      </c>
      <c r="F157" s="19" t="str">
        <f t="shared" si="0"/>
        <v>Medium</v>
      </c>
      <c r="G157" s="19">
        <v>306000</v>
      </c>
      <c r="H157" s="19" t="str">
        <f>IF(' BENGALURU HOUSE PRICE'!$G157&lt;=500000,"Low",
IF(' BENGALURU HOUSE PRICE'!$G157&lt;=1000000,"Medium",
IF(' BENGALURU HOUSE PRICE'!$G157&lt;=3000000,"High","Luxury")))</f>
        <v>Low</v>
      </c>
    </row>
    <row r="158" spans="1:8" ht="15.75" customHeight="1" x14ac:dyDescent="0.25">
      <c r="A158" s="19" t="s">
        <v>139</v>
      </c>
      <c r="B158" s="19">
        <v>1200</v>
      </c>
      <c r="C158" s="19">
        <v>2</v>
      </c>
      <c r="D158" s="19">
        <v>2</v>
      </c>
      <c r="E158" s="23" t="s">
        <v>262</v>
      </c>
      <c r="F158" s="19" t="str">
        <f t="shared" si="0"/>
        <v>Medium</v>
      </c>
      <c r="G158" s="19">
        <v>500000</v>
      </c>
      <c r="H158" s="19" t="str">
        <f>IF(' BENGALURU HOUSE PRICE'!$G158&lt;=500000,"Low",
IF(' BENGALURU HOUSE PRICE'!$G158&lt;=1000000,"Medium",
IF(' BENGALURU HOUSE PRICE'!$G158&lt;=3000000,"High","Luxury")))</f>
        <v>Low</v>
      </c>
    </row>
    <row r="159" spans="1:8" ht="15.75" customHeight="1" x14ac:dyDescent="0.25">
      <c r="A159" s="19" t="s">
        <v>23</v>
      </c>
      <c r="B159" s="19">
        <v>1735</v>
      </c>
      <c r="C159" s="19">
        <v>3</v>
      </c>
      <c r="D159" s="19">
        <v>3</v>
      </c>
      <c r="E159" s="23" t="s">
        <v>27</v>
      </c>
      <c r="F159" s="19" t="str">
        <f t="shared" si="0"/>
        <v>Medium</v>
      </c>
      <c r="G159" s="19">
        <v>1350000</v>
      </c>
      <c r="H159" s="19" t="str">
        <f>IF(' BENGALURU HOUSE PRICE'!$G159&lt;=500000,"Low",
IF(' BENGALURU HOUSE PRICE'!$G159&lt;=1000000,"Medium",
IF(' BENGALURU HOUSE PRICE'!$G159&lt;=3000000,"High","Luxury")))</f>
        <v>High</v>
      </c>
    </row>
    <row r="160" spans="1:8" ht="15.75" customHeight="1" x14ac:dyDescent="0.25">
      <c r="A160" s="19" t="s">
        <v>23</v>
      </c>
      <c r="B160" s="19">
        <v>2050</v>
      </c>
      <c r="C160" s="19">
        <v>3</v>
      </c>
      <c r="D160" s="19">
        <v>1</v>
      </c>
      <c r="E160" s="23" t="s">
        <v>27</v>
      </c>
      <c r="F160" s="19" t="str">
        <f t="shared" si="0"/>
        <v>Large</v>
      </c>
      <c r="G160" s="19">
        <v>1450000</v>
      </c>
      <c r="H160" s="19" t="str">
        <f>IF(' BENGALURU HOUSE PRICE'!$G160&lt;=500000,"Low",
IF(' BENGALURU HOUSE PRICE'!$G160&lt;=1000000,"Medium",
IF(' BENGALURU HOUSE PRICE'!$G160&lt;=3000000,"High","Luxury")))</f>
        <v>High</v>
      </c>
    </row>
    <row r="161" spans="1:8" ht="15.75" customHeight="1" x14ac:dyDescent="0.25">
      <c r="A161" s="19" t="s">
        <v>297</v>
      </c>
      <c r="B161" s="19">
        <v>3750</v>
      </c>
      <c r="C161" s="19">
        <v>4</v>
      </c>
      <c r="D161" s="19">
        <v>0</v>
      </c>
      <c r="E161" s="23" t="s">
        <v>264</v>
      </c>
      <c r="F161" s="19" t="str">
        <f t="shared" si="0"/>
        <v>Large</v>
      </c>
      <c r="G161" s="19">
        <v>7600000</v>
      </c>
      <c r="H161" s="19" t="str">
        <f>IF(' BENGALURU HOUSE PRICE'!$G161&lt;=500000,"Low",
IF(' BENGALURU HOUSE PRICE'!$G161&lt;=1000000,"Medium",
IF(' BENGALURU HOUSE PRICE'!$G161&lt;=3000000,"High","Luxury")))</f>
        <v>Luxury</v>
      </c>
    </row>
    <row r="162" spans="1:8" ht="15.75" customHeight="1" x14ac:dyDescent="0.25">
      <c r="A162" s="19" t="s">
        <v>247</v>
      </c>
      <c r="B162" s="19">
        <v>1350</v>
      </c>
      <c r="C162" s="19">
        <v>2</v>
      </c>
      <c r="D162" s="19">
        <v>3</v>
      </c>
      <c r="E162" s="23" t="s">
        <v>27</v>
      </c>
      <c r="F162" s="19" t="str">
        <f t="shared" si="0"/>
        <v>Medium</v>
      </c>
      <c r="G162" s="19">
        <v>480000</v>
      </c>
      <c r="H162" s="19" t="str">
        <f>IF(' BENGALURU HOUSE PRICE'!$G162&lt;=500000,"Low",
IF(' BENGALURU HOUSE PRICE'!$G162&lt;=1000000,"Medium",
IF(' BENGALURU HOUSE PRICE'!$G162&lt;=3000000,"High","Luxury")))</f>
        <v>Low</v>
      </c>
    </row>
    <row r="163" spans="1:8" ht="15.75" customHeight="1" x14ac:dyDescent="0.25">
      <c r="A163" s="19" t="s">
        <v>117</v>
      </c>
      <c r="B163" s="19">
        <v>1063</v>
      </c>
      <c r="C163" s="19">
        <v>2</v>
      </c>
      <c r="D163" s="19">
        <v>1</v>
      </c>
      <c r="E163" s="23" t="s">
        <v>262</v>
      </c>
      <c r="F163" s="19" t="str">
        <f t="shared" si="0"/>
        <v>Medium</v>
      </c>
      <c r="G163" s="19">
        <v>320000</v>
      </c>
      <c r="H163" s="19" t="str">
        <f>IF(' BENGALURU HOUSE PRICE'!$G163&lt;=500000,"Low",
IF(' BENGALURU HOUSE PRICE'!$G163&lt;=1000000,"Medium",
IF(' BENGALURU HOUSE PRICE'!$G163&lt;=3000000,"High","Luxury")))</f>
        <v>Low</v>
      </c>
    </row>
    <row r="164" spans="1:8" ht="15.75" customHeight="1" x14ac:dyDescent="0.25">
      <c r="A164" s="19" t="s">
        <v>150</v>
      </c>
      <c r="B164" s="19">
        <v>1904</v>
      </c>
      <c r="C164" s="19">
        <v>3</v>
      </c>
      <c r="D164" s="19">
        <v>1</v>
      </c>
      <c r="E164" s="23" t="s">
        <v>27</v>
      </c>
      <c r="F164" s="19" t="str">
        <f t="shared" si="0"/>
        <v>Medium</v>
      </c>
      <c r="G164" s="19">
        <v>1500000</v>
      </c>
      <c r="H164" s="19" t="str">
        <f>IF(' BENGALURU HOUSE PRICE'!$G164&lt;=500000,"Low",
IF(' BENGALURU HOUSE PRICE'!$G164&lt;=1000000,"Medium",
IF(' BENGALURU HOUSE PRICE'!$G164&lt;=3000000,"High","Luxury")))</f>
        <v>High</v>
      </c>
    </row>
    <row r="165" spans="1:8" ht="15.75" customHeight="1" x14ac:dyDescent="0.25">
      <c r="A165" s="19" t="s">
        <v>25</v>
      </c>
      <c r="B165" s="19">
        <v>4200</v>
      </c>
      <c r="C165" s="19">
        <v>4</v>
      </c>
      <c r="D165" s="19">
        <v>2</v>
      </c>
      <c r="E165" s="23" t="s">
        <v>264</v>
      </c>
      <c r="F165" s="19" t="str">
        <f t="shared" si="0"/>
        <v>Large</v>
      </c>
      <c r="G165" s="19">
        <v>4200000</v>
      </c>
      <c r="H165" s="19" t="str">
        <f>IF(' BENGALURU HOUSE PRICE'!$G165&lt;=500000,"Low",
IF(' BENGALURU HOUSE PRICE'!$G165&lt;=1000000,"Medium",
IF(' BENGALURU HOUSE PRICE'!$G165&lt;=3000000,"High","Luxury")))</f>
        <v>Luxury</v>
      </c>
    </row>
    <row r="166" spans="1:8" ht="15.75" customHeight="1" x14ac:dyDescent="0.25">
      <c r="A166" s="19" t="s">
        <v>204</v>
      </c>
      <c r="B166" s="19">
        <v>2000</v>
      </c>
      <c r="C166" s="19">
        <v>3</v>
      </c>
      <c r="D166" s="19">
        <v>1</v>
      </c>
      <c r="E166" s="23" t="s">
        <v>27</v>
      </c>
      <c r="F166" s="19" t="str">
        <f t="shared" si="0"/>
        <v>Medium</v>
      </c>
      <c r="G166" s="19">
        <v>1750000</v>
      </c>
      <c r="H166" s="19" t="str">
        <f>IF(' BENGALURU HOUSE PRICE'!$G166&lt;=500000,"Low",
IF(' BENGALURU HOUSE PRICE'!$G166&lt;=1000000,"Medium",
IF(' BENGALURU HOUSE PRICE'!$G166&lt;=3000000,"High","Luxury")))</f>
        <v>High</v>
      </c>
    </row>
    <row r="167" spans="1:8" ht="15.75" customHeight="1" x14ac:dyDescent="0.25">
      <c r="A167" s="19" t="s">
        <v>210</v>
      </c>
      <c r="B167" s="19">
        <v>1559</v>
      </c>
      <c r="C167" s="19">
        <v>2</v>
      </c>
      <c r="D167" s="19">
        <v>0</v>
      </c>
      <c r="E167" s="23" t="s">
        <v>262</v>
      </c>
      <c r="F167" s="19" t="str">
        <f t="shared" si="0"/>
        <v>Medium</v>
      </c>
      <c r="G167" s="19">
        <v>434900</v>
      </c>
      <c r="H167" s="19" t="str">
        <f>IF(' BENGALURU HOUSE PRICE'!$G167&lt;=500000,"Low",
IF(' BENGALURU HOUSE PRICE'!$G167&lt;=1000000,"Medium",
IF(' BENGALURU HOUSE PRICE'!$G167&lt;=3000000,"High","Luxury")))</f>
        <v>Low</v>
      </c>
    </row>
    <row r="168" spans="1:8" ht="15.75" customHeight="1" x14ac:dyDescent="0.25">
      <c r="A168" s="19" t="s">
        <v>231</v>
      </c>
      <c r="B168" s="19">
        <v>1425</v>
      </c>
      <c r="C168" s="19">
        <v>2</v>
      </c>
      <c r="D168" s="19">
        <v>2</v>
      </c>
      <c r="E168" s="23" t="s">
        <v>27</v>
      </c>
      <c r="F168" s="19" t="str">
        <f t="shared" si="0"/>
        <v>Medium</v>
      </c>
      <c r="G168" s="19">
        <v>750000</v>
      </c>
      <c r="H168" s="19" t="str">
        <f>IF(' BENGALURU HOUSE PRICE'!$G168&lt;=500000,"Low",
IF(' BENGALURU HOUSE PRICE'!$G168&lt;=1000000,"Medium",
IF(' BENGALURU HOUSE PRICE'!$G168&lt;=3000000,"High","Luxury")))</f>
        <v>Medium</v>
      </c>
    </row>
    <row r="169" spans="1:8" ht="15.75" customHeight="1" x14ac:dyDescent="0.25">
      <c r="A169" s="19" t="s">
        <v>16</v>
      </c>
      <c r="B169" s="19">
        <v>1500</v>
      </c>
      <c r="C169" s="19">
        <v>2</v>
      </c>
      <c r="D169" s="19">
        <v>1</v>
      </c>
      <c r="E169" s="23" t="s">
        <v>27</v>
      </c>
      <c r="F169" s="19" t="str">
        <f t="shared" si="0"/>
        <v>Medium</v>
      </c>
      <c r="G169" s="19">
        <v>645000</v>
      </c>
      <c r="H169" s="19" t="str">
        <f>IF(' BENGALURU HOUSE PRICE'!$G169&lt;=500000,"Low",
IF(' BENGALURU HOUSE PRICE'!$G169&lt;=1000000,"Medium",
IF(' BENGALURU HOUSE PRICE'!$G169&lt;=3000000,"High","Luxury")))</f>
        <v>Medium</v>
      </c>
    </row>
    <row r="170" spans="1:8" ht="15.75" customHeight="1" x14ac:dyDescent="0.25">
      <c r="A170" s="19" t="s">
        <v>16</v>
      </c>
      <c r="B170" s="19">
        <v>1060</v>
      </c>
      <c r="C170" s="19">
        <v>2</v>
      </c>
      <c r="D170" s="19">
        <v>1</v>
      </c>
      <c r="E170" s="23" t="s">
        <v>262</v>
      </c>
      <c r="F170" s="19" t="str">
        <f t="shared" si="0"/>
        <v>Medium</v>
      </c>
      <c r="G170" s="19">
        <v>600000</v>
      </c>
      <c r="H170" s="19" t="str">
        <f>IF(' BENGALURU HOUSE PRICE'!$G170&lt;=500000,"Low",
IF(' BENGALURU HOUSE PRICE'!$G170&lt;=1000000,"Medium",
IF(' BENGALURU HOUSE PRICE'!$G170&lt;=3000000,"High","Luxury")))</f>
        <v>Medium</v>
      </c>
    </row>
    <row r="171" spans="1:8" ht="15.75" customHeight="1" x14ac:dyDescent="0.25">
      <c r="A171" s="19" t="s">
        <v>128</v>
      </c>
      <c r="B171" s="19">
        <v>1470</v>
      </c>
      <c r="C171" s="19">
        <v>2</v>
      </c>
      <c r="D171" s="19">
        <v>2</v>
      </c>
      <c r="E171" s="23" t="s">
        <v>27</v>
      </c>
      <c r="F171" s="19" t="str">
        <f t="shared" si="0"/>
        <v>Medium</v>
      </c>
      <c r="G171" s="19">
        <v>700000</v>
      </c>
      <c r="H171" s="19" t="str">
        <f>IF(' BENGALURU HOUSE PRICE'!$G171&lt;=500000,"Low",
IF(' BENGALURU HOUSE PRICE'!$G171&lt;=1000000,"Medium",
IF(' BENGALURU HOUSE PRICE'!$G171&lt;=3000000,"High","Luxury")))</f>
        <v>Medium</v>
      </c>
    </row>
    <row r="172" spans="1:8" ht="15.75" customHeight="1" x14ac:dyDescent="0.25">
      <c r="A172" s="19" t="s">
        <v>298</v>
      </c>
      <c r="B172" s="19">
        <v>1300</v>
      </c>
      <c r="C172" s="19">
        <v>6</v>
      </c>
      <c r="D172" s="19">
        <v>0</v>
      </c>
      <c r="E172" s="23" t="s">
        <v>266</v>
      </c>
      <c r="F172" s="19" t="str">
        <f t="shared" si="0"/>
        <v>Medium</v>
      </c>
      <c r="G172" s="19">
        <v>990000</v>
      </c>
      <c r="H172" s="19" t="str">
        <f>IF(' BENGALURU HOUSE PRICE'!$G172&lt;=500000,"Low",
IF(' BENGALURU HOUSE PRICE'!$G172&lt;=1000000,"Medium",
IF(' BENGALURU HOUSE PRICE'!$G172&lt;=3000000,"High","Luxury")))</f>
        <v>Medium</v>
      </c>
    </row>
    <row r="173" spans="1:8" ht="15.75" customHeight="1" x14ac:dyDescent="0.25">
      <c r="A173" s="19" t="s">
        <v>299</v>
      </c>
      <c r="B173" s="19">
        <v>450</v>
      </c>
      <c r="C173" s="19">
        <v>1</v>
      </c>
      <c r="D173" s="19">
        <v>1</v>
      </c>
      <c r="E173" s="23" t="s">
        <v>267</v>
      </c>
      <c r="F173" s="19" t="str">
        <f t="shared" si="0"/>
        <v>Small</v>
      </c>
      <c r="G173" s="19">
        <v>110000</v>
      </c>
      <c r="H173" s="19" t="str">
        <f>IF(' BENGALURU HOUSE PRICE'!$G173&lt;=500000,"Low",
IF(' BENGALURU HOUSE PRICE'!$G173&lt;=1000000,"Medium",
IF(' BENGALURU HOUSE PRICE'!$G173&lt;=3000000,"High","Luxury")))</f>
        <v>Low</v>
      </c>
    </row>
    <row r="174" spans="1:8" ht="15.75" customHeight="1" x14ac:dyDescent="0.25">
      <c r="A174" s="19" t="s">
        <v>16</v>
      </c>
      <c r="B174" s="19">
        <v>1152</v>
      </c>
      <c r="C174" s="19">
        <v>2</v>
      </c>
      <c r="D174" s="19">
        <v>1</v>
      </c>
      <c r="E174" s="23" t="s">
        <v>262</v>
      </c>
      <c r="F174" s="19" t="str">
        <f t="shared" si="0"/>
        <v>Medium</v>
      </c>
      <c r="G174" s="19">
        <v>645000</v>
      </c>
      <c r="H174" s="19" t="str">
        <f>IF(' BENGALURU HOUSE PRICE'!$G174&lt;=500000,"Low",
IF(' BENGALURU HOUSE PRICE'!$G174&lt;=1000000,"Medium",
IF(' BENGALURU HOUSE PRICE'!$G174&lt;=3000000,"High","Luxury")))</f>
        <v>Medium</v>
      </c>
    </row>
    <row r="175" spans="1:8" ht="15.75" customHeight="1" x14ac:dyDescent="0.25">
      <c r="A175" s="19" t="s">
        <v>16</v>
      </c>
      <c r="B175" s="19">
        <v>1350</v>
      </c>
      <c r="C175" s="19">
        <v>2</v>
      </c>
      <c r="D175" s="19">
        <v>1</v>
      </c>
      <c r="E175" s="23" t="s">
        <v>27</v>
      </c>
      <c r="F175" s="19" t="str">
        <f t="shared" si="0"/>
        <v>Medium</v>
      </c>
      <c r="G175" s="19">
        <v>560000</v>
      </c>
      <c r="H175" s="19" t="str">
        <f>IF(' BENGALURU HOUSE PRICE'!$G175&lt;=500000,"Low",
IF(' BENGALURU HOUSE PRICE'!$G175&lt;=1000000,"Medium",
IF(' BENGALURU HOUSE PRICE'!$G175&lt;=3000000,"High","Luxury")))</f>
        <v>Medium</v>
      </c>
    </row>
    <row r="176" spans="1:8" ht="15.75" customHeight="1" x14ac:dyDescent="0.25">
      <c r="A176" s="19" t="s">
        <v>83</v>
      </c>
      <c r="B176" s="19">
        <v>1550</v>
      </c>
      <c r="C176" s="19">
        <v>3</v>
      </c>
      <c r="D176" s="19">
        <v>3</v>
      </c>
      <c r="E176" s="23" t="s">
        <v>27</v>
      </c>
      <c r="F176" s="19" t="str">
        <f t="shared" si="0"/>
        <v>Medium</v>
      </c>
      <c r="G176" s="19">
        <v>650000</v>
      </c>
      <c r="H176" s="19" t="str">
        <f>IF(' BENGALURU HOUSE PRICE'!$G176&lt;=500000,"Low",
IF(' BENGALURU HOUSE PRICE'!$G176&lt;=1000000,"Medium",
IF(' BENGALURU HOUSE PRICE'!$G176&lt;=3000000,"High","Luxury")))</f>
        <v>Medium</v>
      </c>
    </row>
    <row r="177" spans="1:8" ht="15.75" customHeight="1" x14ac:dyDescent="0.25">
      <c r="A177" s="19" t="s">
        <v>79</v>
      </c>
      <c r="B177" s="19">
        <v>1500</v>
      </c>
      <c r="C177" s="19">
        <v>3</v>
      </c>
      <c r="D177" s="19">
        <v>2</v>
      </c>
      <c r="E177" s="23" t="s">
        <v>27</v>
      </c>
      <c r="F177" s="19" t="str">
        <f t="shared" si="0"/>
        <v>Medium</v>
      </c>
      <c r="G177" s="19">
        <v>1000000</v>
      </c>
      <c r="H177" s="19" t="str">
        <f>IF(' BENGALURU HOUSE PRICE'!$G177&lt;=500000,"Low",
IF(' BENGALURU HOUSE PRICE'!$G177&lt;=1000000,"Medium",
IF(' BENGALURU HOUSE PRICE'!$G177&lt;=3000000,"High","Luxury")))</f>
        <v>Medium</v>
      </c>
    </row>
    <row r="178" spans="1:8" ht="15.75" customHeight="1" x14ac:dyDescent="0.25">
      <c r="A178" s="19" t="s">
        <v>300</v>
      </c>
      <c r="B178" s="19">
        <v>600</v>
      </c>
      <c r="C178" s="19">
        <v>3</v>
      </c>
      <c r="D178" s="19">
        <v>2</v>
      </c>
      <c r="E178" s="23" t="s">
        <v>292</v>
      </c>
      <c r="F178" s="19" t="str">
        <f t="shared" si="0"/>
        <v>Small</v>
      </c>
      <c r="G178" s="19">
        <v>850000</v>
      </c>
      <c r="H178" s="19" t="str">
        <f>IF(' BENGALURU HOUSE PRICE'!$G178&lt;=500000,"Low",
IF(' BENGALURU HOUSE PRICE'!$G178&lt;=1000000,"Medium",
IF(' BENGALURU HOUSE PRICE'!$G178&lt;=3000000,"High","Luxury")))</f>
        <v>Medium</v>
      </c>
    </row>
    <row r="179" spans="1:8" ht="15.75" customHeight="1" x14ac:dyDescent="0.25">
      <c r="A179" s="19" t="s">
        <v>301</v>
      </c>
      <c r="B179" s="19">
        <v>400</v>
      </c>
      <c r="C179" s="19">
        <v>1</v>
      </c>
      <c r="D179" s="19">
        <v>0</v>
      </c>
      <c r="E179" s="23" t="s">
        <v>267</v>
      </c>
      <c r="F179" s="19" t="str">
        <f t="shared" si="0"/>
        <v>Small</v>
      </c>
      <c r="G179" s="19">
        <v>140000</v>
      </c>
      <c r="H179" s="19" t="str">
        <f>IF(' BENGALURU HOUSE PRICE'!$G179&lt;=500000,"Low",
IF(' BENGALURU HOUSE PRICE'!$G179&lt;=1000000,"Medium",
IF(' BENGALURU HOUSE PRICE'!$G179&lt;=3000000,"High","Luxury")))</f>
        <v>Low</v>
      </c>
    </row>
    <row r="180" spans="1:8" ht="15.75" customHeight="1" x14ac:dyDescent="0.25">
      <c r="A180" s="19" t="s">
        <v>171</v>
      </c>
      <c r="B180" s="19">
        <v>705</v>
      </c>
      <c r="C180" s="19">
        <v>1</v>
      </c>
      <c r="D180" s="19">
        <v>2</v>
      </c>
      <c r="E180" s="23" t="s">
        <v>267</v>
      </c>
      <c r="F180" s="19" t="str">
        <f t="shared" si="0"/>
        <v>Small</v>
      </c>
      <c r="G180" s="19">
        <v>670000</v>
      </c>
      <c r="H180" s="19" t="str">
        <f>IF(' BENGALURU HOUSE PRICE'!$G180&lt;=500000,"Low",
IF(' BENGALURU HOUSE PRICE'!$G180&lt;=1000000,"Medium",
IF(' BENGALURU HOUSE PRICE'!$G180&lt;=3000000,"High","Luxury")))</f>
        <v>Medium</v>
      </c>
    </row>
    <row r="181" spans="1:8" ht="15.75" customHeight="1" x14ac:dyDescent="0.25">
      <c r="A181" s="19" t="s">
        <v>16</v>
      </c>
      <c r="B181" s="19">
        <v>770</v>
      </c>
      <c r="C181" s="19">
        <v>1</v>
      </c>
      <c r="D181" s="19">
        <v>1</v>
      </c>
      <c r="E181" s="23" t="s">
        <v>262</v>
      </c>
      <c r="F181" s="19" t="str">
        <f t="shared" si="0"/>
        <v>Small</v>
      </c>
      <c r="G181" s="19">
        <v>360000</v>
      </c>
      <c r="H181" s="19" t="str">
        <f>IF(' BENGALURU HOUSE PRICE'!$G181&lt;=500000,"Low",
IF(' BENGALURU HOUSE PRICE'!$G181&lt;=1000000,"Medium",
IF(' BENGALURU HOUSE PRICE'!$G181&lt;=3000000,"High","Luxury")))</f>
        <v>Low</v>
      </c>
    </row>
    <row r="182" spans="1:8" ht="15.75" customHeight="1" x14ac:dyDescent="0.25">
      <c r="A182" s="19" t="s">
        <v>123</v>
      </c>
      <c r="B182" s="19">
        <v>1242</v>
      </c>
      <c r="C182" s="19">
        <v>2</v>
      </c>
      <c r="D182" s="19">
        <v>3</v>
      </c>
      <c r="E182" s="23" t="s">
        <v>262</v>
      </c>
      <c r="F182" s="19" t="str">
        <f t="shared" si="0"/>
        <v>Medium</v>
      </c>
      <c r="G182" s="19">
        <v>510000</v>
      </c>
      <c r="H182" s="19" t="str">
        <f>IF(' BENGALURU HOUSE PRICE'!$G182&lt;=500000,"Low",
IF(' BENGALURU HOUSE PRICE'!$G182&lt;=1000000,"Medium",
IF(' BENGALURU HOUSE PRICE'!$G182&lt;=3000000,"High","Luxury")))</f>
        <v>Medium</v>
      </c>
    </row>
    <row r="183" spans="1:8" ht="15.75" customHeight="1" x14ac:dyDescent="0.25">
      <c r="A183" s="19" t="s">
        <v>109</v>
      </c>
      <c r="B183" s="19">
        <v>1700</v>
      </c>
      <c r="C183" s="19">
        <v>3</v>
      </c>
      <c r="D183" s="19">
        <v>2</v>
      </c>
      <c r="E183" s="23" t="s">
        <v>27</v>
      </c>
      <c r="F183" s="19" t="str">
        <f t="shared" si="0"/>
        <v>Medium</v>
      </c>
      <c r="G183" s="19">
        <v>1550000</v>
      </c>
      <c r="H183" s="19" t="str">
        <f>IF(' BENGALURU HOUSE PRICE'!$G183&lt;=500000,"Low",
IF(' BENGALURU HOUSE PRICE'!$G183&lt;=1000000,"Medium",
IF(' BENGALURU HOUSE PRICE'!$G183&lt;=3000000,"High","Luxury")))</f>
        <v>High</v>
      </c>
    </row>
    <row r="184" spans="1:8" ht="15.75" customHeight="1" x14ac:dyDescent="0.25">
      <c r="A184" s="19" t="s">
        <v>23</v>
      </c>
      <c r="B184" s="19">
        <v>2144</v>
      </c>
      <c r="C184" s="19">
        <v>3</v>
      </c>
      <c r="D184" s="19">
        <v>2</v>
      </c>
      <c r="E184" s="23" t="s">
        <v>27</v>
      </c>
      <c r="F184" s="19" t="str">
        <f t="shared" si="0"/>
        <v>Large</v>
      </c>
      <c r="G184" s="19">
        <v>1450000</v>
      </c>
      <c r="H184" s="19" t="str">
        <f>IF(' BENGALURU HOUSE PRICE'!$G184&lt;=500000,"Low",
IF(' BENGALURU HOUSE PRICE'!$G184&lt;=1000000,"Medium",
IF(' BENGALURU HOUSE PRICE'!$G184&lt;=3000000,"High","Luxury")))</f>
        <v>High</v>
      </c>
    </row>
    <row r="185" spans="1:8" ht="15.75" customHeight="1" x14ac:dyDescent="0.25">
      <c r="A185" s="19" t="s">
        <v>245</v>
      </c>
      <c r="B185" s="19">
        <v>1704</v>
      </c>
      <c r="C185" s="19">
        <v>3</v>
      </c>
      <c r="D185" s="19">
        <v>2</v>
      </c>
      <c r="E185" s="23" t="s">
        <v>27</v>
      </c>
      <c r="F185" s="19" t="str">
        <f t="shared" si="0"/>
        <v>Medium</v>
      </c>
      <c r="G185" s="19">
        <v>1100000</v>
      </c>
      <c r="H185" s="19" t="str">
        <f>IF(' BENGALURU HOUSE PRICE'!$G185&lt;=500000,"Low",
IF(' BENGALURU HOUSE PRICE'!$G185&lt;=1000000,"Medium",
IF(' BENGALURU HOUSE PRICE'!$G185&lt;=3000000,"High","Luxury")))</f>
        <v>High</v>
      </c>
    </row>
    <row r="186" spans="1:8" ht="15.75" customHeight="1" x14ac:dyDescent="0.25">
      <c r="A186" s="19" t="s">
        <v>16</v>
      </c>
      <c r="B186" s="19">
        <v>1070</v>
      </c>
      <c r="C186" s="19">
        <v>2</v>
      </c>
      <c r="D186" s="19">
        <v>1</v>
      </c>
      <c r="E186" s="23" t="s">
        <v>262</v>
      </c>
      <c r="F186" s="19" t="str">
        <f t="shared" si="0"/>
        <v>Medium</v>
      </c>
      <c r="G186" s="19">
        <v>520000</v>
      </c>
      <c r="H186" s="19" t="str">
        <f>IF(' BENGALURU HOUSE PRICE'!$G186&lt;=500000,"Low",
IF(' BENGALURU HOUSE PRICE'!$G186&lt;=1000000,"Medium",
IF(' BENGALURU HOUSE PRICE'!$G186&lt;=3000000,"High","Luxury")))</f>
        <v>Medium</v>
      </c>
    </row>
    <row r="187" spans="1:8" ht="15.75" customHeight="1" x14ac:dyDescent="0.25">
      <c r="A187" s="19" t="s">
        <v>32</v>
      </c>
      <c r="B187" s="19">
        <v>1846</v>
      </c>
      <c r="C187" s="19">
        <v>3</v>
      </c>
      <c r="D187" s="19">
        <v>2</v>
      </c>
      <c r="E187" s="23" t="s">
        <v>27</v>
      </c>
      <c r="F187" s="19" t="str">
        <f t="shared" si="0"/>
        <v>Medium</v>
      </c>
      <c r="G187" s="19">
        <v>3000000</v>
      </c>
      <c r="H187" s="19" t="str">
        <f>IF(' BENGALURU HOUSE PRICE'!$G187&lt;=500000,"Low",
IF(' BENGALURU HOUSE PRICE'!$G187&lt;=1000000,"Medium",
IF(' BENGALURU HOUSE PRICE'!$G187&lt;=3000000,"High","Luxury")))</f>
        <v>High</v>
      </c>
    </row>
    <row r="188" spans="1:8" ht="15.75" customHeight="1" x14ac:dyDescent="0.25">
      <c r="A188" s="19" t="s">
        <v>302</v>
      </c>
      <c r="B188" s="19">
        <v>1340</v>
      </c>
      <c r="C188" s="19">
        <v>2</v>
      </c>
      <c r="D188" s="19">
        <v>2</v>
      </c>
      <c r="E188" s="23" t="s">
        <v>262</v>
      </c>
      <c r="F188" s="19" t="str">
        <f t="shared" si="0"/>
        <v>Medium</v>
      </c>
      <c r="G188" s="19">
        <v>557000</v>
      </c>
      <c r="H188" s="19" t="str">
        <f>IF(' BENGALURU HOUSE PRICE'!$G188&lt;=500000,"Low",
IF(' BENGALURU HOUSE PRICE'!$G188&lt;=1000000,"Medium",
IF(' BENGALURU HOUSE PRICE'!$G188&lt;=3000000,"High","Luxury")))</f>
        <v>Medium</v>
      </c>
    </row>
    <row r="189" spans="1:8" ht="15.75" customHeight="1" x14ac:dyDescent="0.25">
      <c r="A189" s="19" t="s">
        <v>16</v>
      </c>
      <c r="B189" s="19">
        <v>1025</v>
      </c>
      <c r="C189" s="19">
        <v>2</v>
      </c>
      <c r="D189" s="19">
        <v>1</v>
      </c>
      <c r="E189" s="23" t="s">
        <v>262</v>
      </c>
      <c r="F189" s="19" t="str">
        <f t="shared" si="0"/>
        <v>Medium</v>
      </c>
      <c r="G189" s="19">
        <v>460000</v>
      </c>
      <c r="H189" s="19" t="str">
        <f>IF(' BENGALURU HOUSE PRICE'!$G189&lt;=500000,"Low",
IF(' BENGALURU HOUSE PRICE'!$G189&lt;=1000000,"Medium",
IF(' BENGALURU HOUSE PRICE'!$G189&lt;=3000000,"High","Luxury")))</f>
        <v>Low</v>
      </c>
    </row>
    <row r="190" spans="1:8" ht="15.75" customHeight="1" x14ac:dyDescent="0.25">
      <c r="A190" s="19" t="s">
        <v>273</v>
      </c>
      <c r="B190" s="19">
        <v>1559</v>
      </c>
      <c r="C190" s="19">
        <v>2</v>
      </c>
      <c r="D190" s="19">
        <v>0</v>
      </c>
      <c r="E190" s="23" t="s">
        <v>262</v>
      </c>
      <c r="F190" s="19" t="str">
        <f t="shared" si="0"/>
        <v>Medium</v>
      </c>
      <c r="G190" s="19">
        <v>568000</v>
      </c>
      <c r="H190" s="19" t="str">
        <f>IF(' BENGALURU HOUSE PRICE'!$G190&lt;=500000,"Low",
IF(' BENGALURU HOUSE PRICE'!$G190&lt;=1000000,"Medium",
IF(' BENGALURU HOUSE PRICE'!$G190&lt;=3000000,"High","Luxury")))</f>
        <v>Medium</v>
      </c>
    </row>
    <row r="191" spans="1:8" ht="15.75" customHeight="1" x14ac:dyDescent="0.25">
      <c r="A191" s="19" t="s">
        <v>20</v>
      </c>
      <c r="B191" s="19">
        <v>1200</v>
      </c>
      <c r="C191" s="19">
        <v>2</v>
      </c>
      <c r="D191" s="19">
        <v>2</v>
      </c>
      <c r="E191" s="23" t="s">
        <v>262</v>
      </c>
      <c r="F191" s="19" t="str">
        <f t="shared" si="0"/>
        <v>Medium</v>
      </c>
      <c r="G191" s="19">
        <v>520000</v>
      </c>
      <c r="H191" s="19" t="str">
        <f>IF(' BENGALURU HOUSE PRICE'!$G191&lt;=500000,"Low",
IF(' BENGALURU HOUSE PRICE'!$G191&lt;=1000000,"Medium",
IF(' BENGALURU HOUSE PRICE'!$G191&lt;=3000000,"High","Luxury")))</f>
        <v>Medium</v>
      </c>
    </row>
    <row r="192" spans="1:8" ht="15.75" customHeight="1" x14ac:dyDescent="0.25">
      <c r="A192" s="19" t="s">
        <v>19</v>
      </c>
      <c r="B192" s="19">
        <v>2250</v>
      </c>
      <c r="C192" s="19">
        <v>4</v>
      </c>
      <c r="D192" s="19">
        <v>1</v>
      </c>
      <c r="E192" s="23" t="s">
        <v>264</v>
      </c>
      <c r="F192" s="19" t="str">
        <f t="shared" si="0"/>
        <v>Large</v>
      </c>
      <c r="G192" s="19">
        <v>1100000</v>
      </c>
      <c r="H192" s="19" t="str">
        <f>IF(' BENGALURU HOUSE PRICE'!$G192&lt;=500000,"Low",
IF(' BENGALURU HOUSE PRICE'!$G192&lt;=1000000,"Medium",
IF(' BENGALURU HOUSE PRICE'!$G192&lt;=3000000,"High","Luxury")))</f>
        <v>High</v>
      </c>
    </row>
    <row r="193" spans="1:8" ht="15.75" customHeight="1" x14ac:dyDescent="0.25">
      <c r="A193" s="19" t="s">
        <v>193</v>
      </c>
      <c r="B193" s="19">
        <v>1550</v>
      </c>
      <c r="C193" s="19">
        <v>2</v>
      </c>
      <c r="D193" s="19">
        <v>3</v>
      </c>
      <c r="E193" s="23" t="s">
        <v>27</v>
      </c>
      <c r="F193" s="19" t="str">
        <f t="shared" si="0"/>
        <v>Medium</v>
      </c>
      <c r="G193" s="19">
        <v>800000</v>
      </c>
      <c r="H193" s="19" t="str">
        <f>IF(' BENGALURU HOUSE PRICE'!$G193&lt;=500000,"Low",
IF(' BENGALURU HOUSE PRICE'!$G193&lt;=1000000,"Medium",
IF(' BENGALURU HOUSE PRICE'!$G193&lt;=3000000,"High","Luxury")))</f>
        <v>Medium</v>
      </c>
    </row>
    <row r="194" spans="1:8" ht="15.75" customHeight="1" x14ac:dyDescent="0.25">
      <c r="A194" s="19" t="s">
        <v>59</v>
      </c>
      <c r="B194" s="19">
        <v>1200</v>
      </c>
      <c r="C194" s="19">
        <v>5</v>
      </c>
      <c r="D194" s="19">
        <v>2</v>
      </c>
      <c r="E194" s="23" t="s">
        <v>264</v>
      </c>
      <c r="F194" s="19" t="str">
        <f t="shared" si="0"/>
        <v>Medium</v>
      </c>
      <c r="G194" s="19">
        <v>3250000</v>
      </c>
      <c r="H194" s="19" t="str">
        <f>IF(' BENGALURU HOUSE PRICE'!$G194&lt;=500000,"Low",
IF(' BENGALURU HOUSE PRICE'!$G194&lt;=1000000,"Medium",
IF(' BENGALURU HOUSE PRICE'!$G194&lt;=3000000,"High","Luxury")))</f>
        <v>Luxury</v>
      </c>
    </row>
    <row r="195" spans="1:8" ht="15.75" customHeight="1" x14ac:dyDescent="0.25">
      <c r="A195" s="19" t="s">
        <v>303</v>
      </c>
      <c r="B195" s="19">
        <v>1800</v>
      </c>
      <c r="C195" s="19">
        <v>7</v>
      </c>
      <c r="D195" s="19">
        <v>1</v>
      </c>
      <c r="E195" s="23" t="s">
        <v>290</v>
      </c>
      <c r="F195" s="19" t="str">
        <f t="shared" si="0"/>
        <v>Medium</v>
      </c>
      <c r="G195" s="19">
        <v>2500000</v>
      </c>
      <c r="H195" s="19" t="str">
        <f>IF(' BENGALURU HOUSE PRICE'!$G195&lt;=500000,"Low",
IF(' BENGALURU HOUSE PRICE'!$G195&lt;=1000000,"Medium",
IF(' BENGALURU HOUSE PRICE'!$G195&lt;=3000000,"High","Luxury")))</f>
        <v>High</v>
      </c>
    </row>
    <row r="196" spans="1:8" ht="15.75" customHeight="1" x14ac:dyDescent="0.25">
      <c r="A196" s="19" t="s">
        <v>20</v>
      </c>
      <c r="B196" s="19">
        <v>1200</v>
      </c>
      <c r="C196" s="19">
        <v>2</v>
      </c>
      <c r="D196" s="19">
        <v>2</v>
      </c>
      <c r="E196" s="23" t="s">
        <v>262</v>
      </c>
      <c r="F196" s="19" t="str">
        <f t="shared" si="0"/>
        <v>Medium</v>
      </c>
      <c r="G196" s="19">
        <v>600000</v>
      </c>
      <c r="H196" s="19" t="str">
        <f>IF(' BENGALURU HOUSE PRICE'!$G196&lt;=500000,"Low",
IF(' BENGALURU HOUSE PRICE'!$G196&lt;=1000000,"Medium",
IF(' BENGALURU HOUSE PRICE'!$G196&lt;=3000000,"High","Luxury")))</f>
        <v>Medium</v>
      </c>
    </row>
    <row r="197" spans="1:8" ht="15.75" customHeight="1" x14ac:dyDescent="0.25">
      <c r="A197" s="19" t="s">
        <v>26</v>
      </c>
      <c r="B197" s="19">
        <v>1327</v>
      </c>
      <c r="C197" s="19">
        <v>2</v>
      </c>
      <c r="D197" s="19">
        <v>2</v>
      </c>
      <c r="E197" s="23" t="s">
        <v>262</v>
      </c>
      <c r="F197" s="19" t="str">
        <f t="shared" si="0"/>
        <v>Medium</v>
      </c>
      <c r="G197" s="19">
        <v>980000</v>
      </c>
      <c r="H197" s="19" t="str">
        <f>IF(' BENGALURU HOUSE PRICE'!$G197&lt;=500000,"Low",
IF(' BENGALURU HOUSE PRICE'!$G197&lt;=1000000,"Medium",
IF(' BENGALURU HOUSE PRICE'!$G197&lt;=3000000,"High","Luxury")))</f>
        <v>Medium</v>
      </c>
    </row>
    <row r="198" spans="1:8" ht="15.75" customHeight="1" x14ac:dyDescent="0.25">
      <c r="A198" s="19" t="s">
        <v>159</v>
      </c>
      <c r="B198" s="19">
        <v>1186</v>
      </c>
      <c r="C198" s="19">
        <v>2</v>
      </c>
      <c r="D198" s="19">
        <v>2</v>
      </c>
      <c r="E198" s="23" t="s">
        <v>262</v>
      </c>
      <c r="F198" s="19" t="str">
        <f t="shared" si="0"/>
        <v>Medium</v>
      </c>
      <c r="G198" s="19">
        <v>580000</v>
      </c>
      <c r="H198" s="19" t="str">
        <f>IF(' BENGALURU HOUSE PRICE'!$G198&lt;=500000,"Low",
IF(' BENGALURU HOUSE PRICE'!$G198&lt;=1000000,"Medium",
IF(' BENGALURU HOUSE PRICE'!$G198&lt;=3000000,"High","Luxury")))</f>
        <v>Medium</v>
      </c>
    </row>
    <row r="199" spans="1:8" ht="15.75" customHeight="1" x14ac:dyDescent="0.25">
      <c r="A199" s="19" t="s">
        <v>179</v>
      </c>
      <c r="B199" s="19">
        <v>1783</v>
      </c>
      <c r="C199" s="19">
        <v>3</v>
      </c>
      <c r="D199" s="19">
        <v>1</v>
      </c>
      <c r="E199" s="23" t="s">
        <v>27</v>
      </c>
      <c r="F199" s="19" t="str">
        <f t="shared" si="0"/>
        <v>Medium</v>
      </c>
      <c r="G199" s="19">
        <v>1150000</v>
      </c>
      <c r="H199" s="19" t="str">
        <f>IF(' BENGALURU HOUSE PRICE'!$G199&lt;=500000,"Low",
IF(' BENGALURU HOUSE PRICE'!$G199&lt;=1000000,"Medium",
IF(' BENGALURU HOUSE PRICE'!$G199&lt;=3000000,"High","Luxury")))</f>
        <v>High</v>
      </c>
    </row>
    <row r="200" spans="1:8" ht="15.75" customHeight="1" x14ac:dyDescent="0.25">
      <c r="A200" s="19" t="s">
        <v>122</v>
      </c>
      <c r="B200" s="19">
        <v>1400</v>
      </c>
      <c r="C200" s="19">
        <v>3</v>
      </c>
      <c r="D200" s="19">
        <v>2</v>
      </c>
      <c r="E200" s="23" t="s">
        <v>27</v>
      </c>
      <c r="F200" s="19" t="str">
        <f t="shared" si="0"/>
        <v>Medium</v>
      </c>
      <c r="G200" s="19">
        <v>560000</v>
      </c>
      <c r="H200" s="19" t="str">
        <f>IF(' BENGALURU HOUSE PRICE'!$G200&lt;=500000,"Low",
IF(' BENGALURU HOUSE PRICE'!$G200&lt;=1000000,"Medium",
IF(' BENGALURU HOUSE PRICE'!$G200&lt;=3000000,"High","Luxury")))</f>
        <v>Medium</v>
      </c>
    </row>
    <row r="201" spans="1:8" ht="15.75" customHeight="1" x14ac:dyDescent="0.25">
      <c r="A201" s="19" t="s">
        <v>304</v>
      </c>
      <c r="B201" s="19">
        <v>980</v>
      </c>
      <c r="C201" s="19">
        <v>2</v>
      </c>
      <c r="D201" s="19">
        <v>1</v>
      </c>
      <c r="E201" s="23" t="s">
        <v>262</v>
      </c>
      <c r="F201" s="19" t="str">
        <f t="shared" si="0"/>
        <v>Small</v>
      </c>
      <c r="G201" s="19">
        <v>480000</v>
      </c>
      <c r="H201" s="19" t="str">
        <f>IF(' BENGALURU HOUSE PRICE'!$G201&lt;=500000,"Low",
IF(' BENGALURU HOUSE PRICE'!$G201&lt;=1000000,"Medium",
IF(' BENGALURU HOUSE PRICE'!$G201&lt;=3000000,"High","Luxury")))</f>
        <v>Low</v>
      </c>
    </row>
    <row r="202" spans="1:8" ht="15.75" customHeight="1" x14ac:dyDescent="0.25">
      <c r="A202" s="19" t="s">
        <v>98</v>
      </c>
      <c r="B202" s="19">
        <v>1285</v>
      </c>
      <c r="C202" s="19">
        <v>2</v>
      </c>
      <c r="D202" s="19">
        <v>2</v>
      </c>
      <c r="E202" s="23" t="s">
        <v>262</v>
      </c>
      <c r="F202" s="19" t="str">
        <f t="shared" si="0"/>
        <v>Medium</v>
      </c>
      <c r="G202" s="19">
        <v>820000</v>
      </c>
      <c r="H202" s="19" t="str">
        <f>IF(' BENGALURU HOUSE PRICE'!$G202&lt;=500000,"Low",
IF(' BENGALURU HOUSE PRICE'!$G202&lt;=1000000,"Medium",
IF(' BENGALURU HOUSE PRICE'!$G202&lt;=3000000,"High","Luxury")))</f>
        <v>Medium</v>
      </c>
    </row>
    <row r="203" spans="1:8" ht="15.75" customHeight="1" x14ac:dyDescent="0.25">
      <c r="A203" s="19" t="s">
        <v>165</v>
      </c>
      <c r="B203" s="19">
        <v>912</v>
      </c>
      <c r="C203" s="19">
        <v>2</v>
      </c>
      <c r="D203" s="19">
        <v>1</v>
      </c>
      <c r="E203" s="23" t="s">
        <v>27</v>
      </c>
      <c r="F203" s="19" t="str">
        <f t="shared" si="0"/>
        <v>Small</v>
      </c>
      <c r="G203" s="19">
        <v>700000</v>
      </c>
      <c r="H203" s="19" t="str">
        <f>IF(' BENGALURU HOUSE PRICE'!$G203&lt;=500000,"Low",
IF(' BENGALURU HOUSE PRICE'!$G203&lt;=1000000,"Medium",
IF(' BENGALURU HOUSE PRICE'!$G203&lt;=3000000,"High","Luxury")))</f>
        <v>Medium</v>
      </c>
    </row>
    <row r="204" spans="1:8" ht="15.75" customHeight="1" x14ac:dyDescent="0.25">
      <c r="A204" s="19" t="s">
        <v>25</v>
      </c>
      <c r="B204" s="19">
        <v>1225</v>
      </c>
      <c r="C204" s="19">
        <v>2</v>
      </c>
      <c r="D204" s="19">
        <v>2</v>
      </c>
      <c r="E204" s="23" t="s">
        <v>262</v>
      </c>
      <c r="F204" s="19" t="str">
        <f t="shared" si="0"/>
        <v>Medium</v>
      </c>
      <c r="G204" s="19">
        <v>476000</v>
      </c>
      <c r="H204" s="19" t="str">
        <f>IF(' BENGALURU HOUSE PRICE'!$G204&lt;=500000,"Low",
IF(' BENGALURU HOUSE PRICE'!$G204&lt;=1000000,"Medium",
IF(' BENGALURU HOUSE PRICE'!$G204&lt;=3000000,"High","Luxury")))</f>
        <v>Low</v>
      </c>
    </row>
    <row r="205" spans="1:8" ht="15.75" customHeight="1" x14ac:dyDescent="0.25">
      <c r="A205" s="19" t="s">
        <v>25</v>
      </c>
      <c r="B205" s="19">
        <v>1075</v>
      </c>
      <c r="C205" s="19">
        <v>2</v>
      </c>
      <c r="D205" s="19">
        <v>1</v>
      </c>
      <c r="E205" s="23" t="s">
        <v>262</v>
      </c>
      <c r="F205" s="19" t="str">
        <f t="shared" si="0"/>
        <v>Medium</v>
      </c>
      <c r="G205" s="19">
        <v>530000</v>
      </c>
      <c r="H205" s="19" t="str">
        <f>IF(' BENGALURU HOUSE PRICE'!$G205&lt;=500000,"Low",
IF(' BENGALURU HOUSE PRICE'!$G205&lt;=1000000,"Medium",
IF(' BENGALURU HOUSE PRICE'!$G205&lt;=3000000,"High","Luxury")))</f>
        <v>Medium</v>
      </c>
    </row>
    <row r="206" spans="1:8" ht="15.75" customHeight="1" x14ac:dyDescent="0.25">
      <c r="A206" s="19" t="s">
        <v>136</v>
      </c>
      <c r="B206" s="19">
        <v>1260</v>
      </c>
      <c r="C206" s="19">
        <v>2</v>
      </c>
      <c r="D206" s="19">
        <v>2</v>
      </c>
      <c r="E206" s="23" t="s">
        <v>27</v>
      </c>
      <c r="F206" s="19" t="str">
        <f t="shared" si="0"/>
        <v>Medium</v>
      </c>
      <c r="G206" s="19">
        <v>540000</v>
      </c>
      <c r="H206" s="19" t="str">
        <f>IF(' BENGALURU HOUSE PRICE'!$G206&lt;=500000,"Low",
IF(' BENGALURU HOUSE PRICE'!$G206&lt;=1000000,"Medium",
IF(' BENGALURU HOUSE PRICE'!$G206&lt;=3000000,"High","Luxury")))</f>
        <v>Medium</v>
      </c>
    </row>
    <row r="207" spans="1:8" ht="15.75" customHeight="1" x14ac:dyDescent="0.25">
      <c r="A207" s="19" t="s">
        <v>26</v>
      </c>
      <c r="B207" s="19">
        <v>1282</v>
      </c>
      <c r="C207" s="19">
        <v>2</v>
      </c>
      <c r="D207" s="19">
        <v>2</v>
      </c>
      <c r="E207" s="23" t="s">
        <v>27</v>
      </c>
      <c r="F207" s="19" t="str">
        <f t="shared" si="0"/>
        <v>Medium</v>
      </c>
      <c r="G207" s="19">
        <v>487000</v>
      </c>
      <c r="H207" s="19" t="str">
        <f>IF(' BENGALURU HOUSE PRICE'!$G207&lt;=500000,"Low",
IF(' BENGALURU HOUSE PRICE'!$G207&lt;=1000000,"Medium",
IF(' BENGALURU HOUSE PRICE'!$G207&lt;=3000000,"High","Luxury")))</f>
        <v>Low</v>
      </c>
    </row>
    <row r="208" spans="1:8" ht="15.75" customHeight="1" x14ac:dyDescent="0.25">
      <c r="A208" s="19" t="s">
        <v>155</v>
      </c>
      <c r="B208" s="19">
        <v>1909</v>
      </c>
      <c r="C208" s="19">
        <v>3</v>
      </c>
      <c r="D208" s="19">
        <v>2</v>
      </c>
      <c r="E208" s="23" t="s">
        <v>27</v>
      </c>
      <c r="F208" s="19" t="str">
        <f t="shared" si="0"/>
        <v>Medium</v>
      </c>
      <c r="G208" s="19">
        <v>880000</v>
      </c>
      <c r="H208" s="19" t="str">
        <f>IF(' BENGALURU HOUSE PRICE'!$G208&lt;=500000,"Low",
IF(' BENGALURU HOUSE PRICE'!$G208&lt;=1000000,"Medium",
IF(' BENGALURU HOUSE PRICE'!$G208&lt;=3000000,"High","Luxury")))</f>
        <v>Medium</v>
      </c>
    </row>
    <row r="209" spans="1:8" ht="15.75" customHeight="1" x14ac:dyDescent="0.25">
      <c r="A209" s="19" t="s">
        <v>192</v>
      </c>
      <c r="B209" s="19">
        <v>1359</v>
      </c>
      <c r="C209" s="19">
        <v>2</v>
      </c>
      <c r="D209" s="19">
        <v>1</v>
      </c>
      <c r="E209" s="23" t="s">
        <v>262</v>
      </c>
      <c r="F209" s="19" t="str">
        <f t="shared" si="0"/>
        <v>Medium</v>
      </c>
      <c r="G209" s="19">
        <v>870000</v>
      </c>
      <c r="H209" s="19" t="str">
        <f>IF(' BENGALURU HOUSE PRICE'!$G209&lt;=500000,"Low",
IF(' BENGALURU HOUSE PRICE'!$G209&lt;=1000000,"Medium",
IF(' BENGALURU HOUSE PRICE'!$G209&lt;=3000000,"High","Luxury")))</f>
        <v>Medium</v>
      </c>
    </row>
    <row r="210" spans="1:8" ht="15.75" customHeight="1" x14ac:dyDescent="0.25">
      <c r="A210" s="19" t="s">
        <v>184</v>
      </c>
      <c r="B210" s="19">
        <v>1207</v>
      </c>
      <c r="C210" s="19">
        <v>2</v>
      </c>
      <c r="D210" s="19">
        <v>2</v>
      </c>
      <c r="E210" s="23" t="s">
        <v>262</v>
      </c>
      <c r="F210" s="19" t="str">
        <f t="shared" si="0"/>
        <v>Medium</v>
      </c>
      <c r="G210" s="19">
        <v>435000</v>
      </c>
      <c r="H210" s="19" t="str">
        <f>IF(' BENGALURU HOUSE PRICE'!$G210&lt;=500000,"Low",
IF(' BENGALURU HOUSE PRICE'!$G210&lt;=1000000,"Medium",
IF(' BENGALURU HOUSE PRICE'!$G210&lt;=3000000,"High","Luxury")))</f>
        <v>Low</v>
      </c>
    </row>
    <row r="211" spans="1:8" ht="15.75" customHeight="1" x14ac:dyDescent="0.25">
      <c r="A211" s="19" t="s">
        <v>305</v>
      </c>
      <c r="B211" s="19">
        <v>1736</v>
      </c>
      <c r="C211" s="19">
        <v>6</v>
      </c>
      <c r="D211" s="19">
        <v>0</v>
      </c>
      <c r="E211" s="23" t="s">
        <v>264</v>
      </c>
      <c r="F211" s="19" t="str">
        <f t="shared" si="0"/>
        <v>Medium</v>
      </c>
      <c r="G211" s="19">
        <v>1900000</v>
      </c>
      <c r="H211" s="19" t="str">
        <f>IF(' BENGALURU HOUSE PRICE'!$G211&lt;=500000,"Low",
IF(' BENGALURU HOUSE PRICE'!$G211&lt;=1000000,"Medium",
IF(' BENGALURU HOUSE PRICE'!$G211&lt;=3000000,"High","Luxury")))</f>
        <v>High</v>
      </c>
    </row>
    <row r="212" spans="1:8" ht="15.75" customHeight="1" x14ac:dyDescent="0.25">
      <c r="A212" s="19" t="s">
        <v>28</v>
      </c>
      <c r="B212" s="19">
        <v>2850</v>
      </c>
      <c r="C212" s="19">
        <v>4</v>
      </c>
      <c r="D212" s="19">
        <v>1</v>
      </c>
      <c r="E212" s="23" t="s">
        <v>264</v>
      </c>
      <c r="F212" s="19" t="str">
        <f t="shared" si="0"/>
        <v>Large</v>
      </c>
      <c r="G212" s="19">
        <v>4280000</v>
      </c>
      <c r="H212" s="19" t="str">
        <f>IF(' BENGALURU HOUSE PRICE'!$G212&lt;=500000,"Low",
IF(' BENGALURU HOUSE PRICE'!$G212&lt;=1000000,"Medium",
IF(' BENGALURU HOUSE PRICE'!$G212&lt;=3000000,"High","Luxury")))</f>
        <v>Luxury</v>
      </c>
    </row>
    <row r="213" spans="1:8" ht="15.75" customHeight="1" x14ac:dyDescent="0.25">
      <c r="A213" s="19" t="s">
        <v>142</v>
      </c>
      <c r="B213" s="19">
        <v>1595</v>
      </c>
      <c r="C213" s="19">
        <v>3</v>
      </c>
      <c r="D213" s="19">
        <v>2</v>
      </c>
      <c r="E213" s="23" t="s">
        <v>27</v>
      </c>
      <c r="F213" s="19" t="str">
        <f t="shared" si="0"/>
        <v>Medium</v>
      </c>
      <c r="G213" s="19">
        <v>650000</v>
      </c>
      <c r="H213" s="19" t="str">
        <f>IF(' BENGALURU HOUSE PRICE'!$G213&lt;=500000,"Low",
IF(' BENGALURU HOUSE PRICE'!$G213&lt;=1000000,"Medium",
IF(' BENGALURU HOUSE PRICE'!$G213&lt;=3000000,"High","Luxury")))</f>
        <v>Medium</v>
      </c>
    </row>
    <row r="214" spans="1:8" ht="15.75" customHeight="1" x14ac:dyDescent="0.25">
      <c r="A214" s="19" t="s">
        <v>188</v>
      </c>
      <c r="B214" s="19">
        <v>1798</v>
      </c>
      <c r="C214" s="19">
        <v>3</v>
      </c>
      <c r="D214" s="19">
        <v>2</v>
      </c>
      <c r="E214" s="23" t="s">
        <v>27</v>
      </c>
      <c r="F214" s="19" t="str">
        <f t="shared" si="0"/>
        <v>Medium</v>
      </c>
      <c r="G214" s="19">
        <v>890000</v>
      </c>
      <c r="H214" s="19" t="str">
        <f>IF(' BENGALURU HOUSE PRICE'!$G214&lt;=500000,"Low",
IF(' BENGALURU HOUSE PRICE'!$G214&lt;=1000000,"Medium",
IF(' BENGALURU HOUSE PRICE'!$G214&lt;=3000000,"High","Luxury")))</f>
        <v>Medium</v>
      </c>
    </row>
    <row r="215" spans="1:8" ht="15.75" customHeight="1" x14ac:dyDescent="0.25">
      <c r="A215" s="19" t="s">
        <v>97</v>
      </c>
      <c r="B215" s="19">
        <v>1475</v>
      </c>
      <c r="C215" s="19">
        <v>3</v>
      </c>
      <c r="D215" s="19">
        <v>2</v>
      </c>
      <c r="E215" s="23" t="s">
        <v>27</v>
      </c>
      <c r="F215" s="19" t="str">
        <f t="shared" si="0"/>
        <v>Medium</v>
      </c>
      <c r="G215" s="19">
        <v>782900</v>
      </c>
      <c r="H215" s="19" t="str">
        <f>IF(' BENGALURU HOUSE PRICE'!$G215&lt;=500000,"Low",
IF(' BENGALURU HOUSE PRICE'!$G215&lt;=1000000,"Medium",
IF(' BENGALURU HOUSE PRICE'!$G215&lt;=3000000,"High","Luxury")))</f>
        <v>Medium</v>
      </c>
    </row>
    <row r="216" spans="1:8" ht="15.75" customHeight="1" x14ac:dyDescent="0.25">
      <c r="A216" s="19" t="s">
        <v>227</v>
      </c>
      <c r="B216" s="19">
        <v>1580</v>
      </c>
      <c r="C216" s="19">
        <v>3</v>
      </c>
      <c r="D216" s="19">
        <v>3</v>
      </c>
      <c r="E216" s="23" t="s">
        <v>27</v>
      </c>
      <c r="F216" s="19" t="str">
        <f t="shared" si="0"/>
        <v>Medium</v>
      </c>
      <c r="G216" s="19">
        <v>1000000</v>
      </c>
      <c r="H216" s="19" t="str">
        <f>IF(' BENGALURU HOUSE PRICE'!$G216&lt;=500000,"Low",
IF(' BENGALURU HOUSE PRICE'!$G216&lt;=1000000,"Medium",
IF(' BENGALURU HOUSE PRICE'!$G216&lt;=3000000,"High","Luxury")))</f>
        <v>Medium</v>
      </c>
    </row>
    <row r="217" spans="1:8" ht="15.75" customHeight="1" x14ac:dyDescent="0.25">
      <c r="A217" s="19" t="s">
        <v>85</v>
      </c>
      <c r="B217" s="19">
        <v>1295</v>
      </c>
      <c r="C217" s="19">
        <v>2</v>
      </c>
      <c r="D217" s="19">
        <v>1</v>
      </c>
      <c r="E217" s="23" t="s">
        <v>262</v>
      </c>
      <c r="F217" s="19" t="str">
        <f t="shared" si="0"/>
        <v>Medium</v>
      </c>
      <c r="G217" s="19">
        <v>650000</v>
      </c>
      <c r="H217" s="19" t="str">
        <f>IF(' BENGALURU HOUSE PRICE'!$G217&lt;=500000,"Low",
IF(' BENGALURU HOUSE PRICE'!$G217&lt;=1000000,"Medium",
IF(' BENGALURU HOUSE PRICE'!$G217&lt;=3000000,"High","Luxury")))</f>
        <v>Medium</v>
      </c>
    </row>
    <row r="218" spans="1:8" ht="15.75" customHeight="1" x14ac:dyDescent="0.25">
      <c r="A218" s="19" t="s">
        <v>168</v>
      </c>
      <c r="B218" s="19">
        <v>3600</v>
      </c>
      <c r="C218" s="19">
        <v>6</v>
      </c>
      <c r="D218" s="19">
        <v>0</v>
      </c>
      <c r="E218" s="23" t="s">
        <v>266</v>
      </c>
      <c r="F218" s="19" t="str">
        <f t="shared" si="0"/>
        <v>Large</v>
      </c>
      <c r="G218" s="19">
        <v>1410000</v>
      </c>
      <c r="H218" s="19" t="str">
        <f>IF(' BENGALURU HOUSE PRICE'!$G218&lt;=500000,"Low",
IF(' BENGALURU HOUSE PRICE'!$G218&lt;=1000000,"Medium",
IF(' BENGALURU HOUSE PRICE'!$G218&lt;=3000000,"High","Luxury")))</f>
        <v>High</v>
      </c>
    </row>
    <row r="219" spans="1:8" ht="15.75" customHeight="1" x14ac:dyDescent="0.25">
      <c r="A219" s="19" t="s">
        <v>16</v>
      </c>
      <c r="B219" s="19">
        <v>589</v>
      </c>
      <c r="C219" s="19">
        <v>1</v>
      </c>
      <c r="D219" s="19">
        <v>1</v>
      </c>
      <c r="E219" s="23" t="s">
        <v>267</v>
      </c>
      <c r="F219" s="19" t="str">
        <f t="shared" si="0"/>
        <v>Small</v>
      </c>
      <c r="G219" s="19">
        <v>270000</v>
      </c>
      <c r="H219" s="19" t="str">
        <f>IF(' BENGALURU HOUSE PRICE'!$G219&lt;=500000,"Low",
IF(' BENGALURU HOUSE PRICE'!$G219&lt;=1000000,"Medium",
IF(' BENGALURU HOUSE PRICE'!$G219&lt;=3000000,"High","Luxury")))</f>
        <v>Low</v>
      </c>
    </row>
    <row r="220" spans="1:8" ht="15.75" customHeight="1" x14ac:dyDescent="0.25">
      <c r="A220" s="19" t="s">
        <v>186</v>
      </c>
      <c r="B220" s="19">
        <v>1415</v>
      </c>
      <c r="C220" s="19">
        <v>3</v>
      </c>
      <c r="D220" s="19">
        <v>3</v>
      </c>
      <c r="E220" s="23" t="s">
        <v>27</v>
      </c>
      <c r="F220" s="19" t="str">
        <f t="shared" si="0"/>
        <v>Medium</v>
      </c>
      <c r="G220" s="19">
        <v>780000</v>
      </c>
      <c r="H220" s="19" t="str">
        <f>IF(' BENGALURU HOUSE PRICE'!$G220&lt;=500000,"Low",
IF(' BENGALURU HOUSE PRICE'!$G220&lt;=1000000,"Medium",
IF(' BENGALURU HOUSE PRICE'!$G220&lt;=3000000,"High","Luxury")))</f>
        <v>Medium</v>
      </c>
    </row>
    <row r="221" spans="1:8" ht="15.75" customHeight="1" x14ac:dyDescent="0.25">
      <c r="A221" s="19" t="s">
        <v>22</v>
      </c>
      <c r="B221" s="19">
        <v>1787</v>
      </c>
      <c r="C221" s="19">
        <v>3</v>
      </c>
      <c r="D221" s="19">
        <v>2</v>
      </c>
      <c r="E221" s="23" t="s">
        <v>27</v>
      </c>
      <c r="F221" s="19" t="str">
        <f t="shared" si="0"/>
        <v>Medium</v>
      </c>
      <c r="G221" s="19">
        <v>982900</v>
      </c>
      <c r="H221" s="19" t="str">
        <f>IF(' BENGALURU HOUSE PRICE'!$G221&lt;=500000,"Low",
IF(' BENGALURU HOUSE PRICE'!$G221&lt;=1000000,"Medium",
IF(' BENGALURU HOUSE PRICE'!$G221&lt;=3000000,"High","Luxury")))</f>
        <v>Medium</v>
      </c>
    </row>
    <row r="222" spans="1:8" ht="15.75" customHeight="1" x14ac:dyDescent="0.25">
      <c r="A222" s="19" t="s">
        <v>22</v>
      </c>
      <c r="B222" s="19">
        <v>1787</v>
      </c>
      <c r="C222" s="19">
        <v>3</v>
      </c>
      <c r="D222" s="19">
        <v>2</v>
      </c>
      <c r="E222" s="23" t="s">
        <v>27</v>
      </c>
      <c r="F222" s="19" t="str">
        <f t="shared" si="0"/>
        <v>Medium</v>
      </c>
      <c r="G222" s="19">
        <v>1250000</v>
      </c>
      <c r="H222" s="19" t="str">
        <f>IF(' BENGALURU HOUSE PRICE'!$G222&lt;=500000,"Low",
IF(' BENGALURU HOUSE PRICE'!$G222&lt;=1000000,"Medium",
IF(' BENGALURU HOUSE PRICE'!$G222&lt;=3000000,"High","Luxury")))</f>
        <v>High</v>
      </c>
    </row>
    <row r="223" spans="1:8" ht="15.75" customHeight="1" x14ac:dyDescent="0.25">
      <c r="A223" s="19" t="s">
        <v>157</v>
      </c>
      <c r="B223" s="19">
        <v>1475</v>
      </c>
      <c r="C223" s="19">
        <v>2</v>
      </c>
      <c r="D223" s="19">
        <v>3</v>
      </c>
      <c r="E223" s="23" t="s">
        <v>27</v>
      </c>
      <c r="F223" s="19" t="str">
        <f t="shared" si="0"/>
        <v>Medium</v>
      </c>
      <c r="G223" s="19">
        <v>900000</v>
      </c>
      <c r="H223" s="19" t="str">
        <f>IF(' BENGALURU HOUSE PRICE'!$G223&lt;=500000,"Low",
IF(' BENGALURU HOUSE PRICE'!$G223&lt;=1000000,"Medium",
IF(' BENGALURU HOUSE PRICE'!$G223&lt;=3000000,"High","Luxury")))</f>
        <v>Medium</v>
      </c>
    </row>
    <row r="224" spans="1:8" ht="15.75" customHeight="1" x14ac:dyDescent="0.25">
      <c r="A224" s="19" t="s">
        <v>306</v>
      </c>
      <c r="B224" s="19">
        <v>2000</v>
      </c>
      <c r="C224" s="19">
        <v>4</v>
      </c>
      <c r="D224" s="19">
        <v>1</v>
      </c>
      <c r="E224" s="23" t="s">
        <v>264</v>
      </c>
      <c r="F224" s="19" t="str">
        <f t="shared" si="0"/>
        <v>Medium</v>
      </c>
      <c r="G224" s="19">
        <v>755000</v>
      </c>
      <c r="H224" s="19" t="str">
        <f>IF(' BENGALURU HOUSE PRICE'!$G224&lt;=500000,"Low",
IF(' BENGALURU HOUSE PRICE'!$G224&lt;=1000000,"Medium",
IF(' BENGALURU HOUSE PRICE'!$G224&lt;=3000000,"High","Luxury")))</f>
        <v>Medium</v>
      </c>
    </row>
    <row r="225" spans="1:8" ht="15.75" customHeight="1" x14ac:dyDescent="0.25">
      <c r="A225" s="19" t="s">
        <v>22</v>
      </c>
      <c r="B225" s="19">
        <v>984</v>
      </c>
      <c r="C225" s="19">
        <v>2</v>
      </c>
      <c r="D225" s="19">
        <v>1</v>
      </c>
      <c r="E225" s="23" t="s">
        <v>262</v>
      </c>
      <c r="F225" s="19" t="str">
        <f t="shared" si="0"/>
        <v>Small</v>
      </c>
      <c r="G225" s="19">
        <v>442800</v>
      </c>
      <c r="H225" s="19" t="str">
        <f>IF(' BENGALURU HOUSE PRICE'!$G225&lt;=500000,"Low",
IF(' BENGALURU HOUSE PRICE'!$G225&lt;=1000000,"Medium",
IF(' BENGALURU HOUSE PRICE'!$G225&lt;=3000000,"High","Luxury")))</f>
        <v>Low</v>
      </c>
    </row>
    <row r="226" spans="1:8" ht="15.75" customHeight="1" x14ac:dyDescent="0.25">
      <c r="A226" s="19" t="s">
        <v>86</v>
      </c>
      <c r="B226" s="19">
        <v>1559</v>
      </c>
      <c r="C226" s="19">
        <v>2</v>
      </c>
      <c r="D226" s="19">
        <v>2</v>
      </c>
      <c r="E226" s="23" t="s">
        <v>27</v>
      </c>
      <c r="F226" s="19" t="str">
        <f t="shared" si="0"/>
        <v>Medium</v>
      </c>
      <c r="G226" s="19">
        <v>748200</v>
      </c>
      <c r="H226" s="19" t="str">
        <f>IF(' BENGALURU HOUSE PRICE'!$G226&lt;=500000,"Low",
IF(' BENGALURU HOUSE PRICE'!$G226&lt;=1000000,"Medium",
IF(' BENGALURU HOUSE PRICE'!$G226&lt;=3000000,"High","Luxury")))</f>
        <v>Medium</v>
      </c>
    </row>
    <row r="227" spans="1:8" ht="15.75" customHeight="1" x14ac:dyDescent="0.25">
      <c r="A227" s="19" t="s">
        <v>180</v>
      </c>
      <c r="B227" s="19">
        <v>2405</v>
      </c>
      <c r="C227" s="19">
        <v>4</v>
      </c>
      <c r="D227" s="19">
        <v>2</v>
      </c>
      <c r="E227" s="23" t="s">
        <v>27</v>
      </c>
      <c r="F227" s="19" t="str">
        <f t="shared" si="0"/>
        <v>Large</v>
      </c>
      <c r="G227" s="19">
        <v>2600000</v>
      </c>
      <c r="H227" s="19" t="str">
        <f>IF(' BENGALURU HOUSE PRICE'!$G227&lt;=500000,"Low",
IF(' BENGALURU HOUSE PRICE'!$G227&lt;=1000000,"Medium",
IF(' BENGALURU HOUSE PRICE'!$G227&lt;=3000000,"High","Luxury")))</f>
        <v>High</v>
      </c>
    </row>
    <row r="228" spans="1:8" ht="15.75" customHeight="1" x14ac:dyDescent="0.25">
      <c r="A228" s="19" t="s">
        <v>15</v>
      </c>
      <c r="B228" s="19">
        <v>1080</v>
      </c>
      <c r="C228" s="19">
        <v>2</v>
      </c>
      <c r="D228" s="19">
        <v>2</v>
      </c>
      <c r="E228" s="23" t="s">
        <v>262</v>
      </c>
      <c r="F228" s="19" t="str">
        <f t="shared" si="0"/>
        <v>Medium</v>
      </c>
      <c r="G228" s="19">
        <v>720000</v>
      </c>
      <c r="H228" s="19" t="str">
        <f>IF(' BENGALURU HOUSE PRICE'!$G228&lt;=500000,"Low",
IF(' BENGALURU HOUSE PRICE'!$G228&lt;=1000000,"Medium",
IF(' BENGALURU HOUSE PRICE'!$G228&lt;=3000000,"High","Luxury")))</f>
        <v>Medium</v>
      </c>
    </row>
    <row r="229" spans="1:8" ht="15.75" customHeight="1" x14ac:dyDescent="0.25">
      <c r="A229" s="19" t="s">
        <v>213</v>
      </c>
      <c r="B229" s="19">
        <v>1500</v>
      </c>
      <c r="C229" s="19">
        <v>2</v>
      </c>
      <c r="D229" s="19">
        <v>1</v>
      </c>
      <c r="E229" s="23" t="s">
        <v>262</v>
      </c>
      <c r="F229" s="19" t="str">
        <f t="shared" si="0"/>
        <v>Medium</v>
      </c>
      <c r="G229" s="19">
        <v>1150000</v>
      </c>
      <c r="H229" s="19" t="str">
        <f>IF(' BENGALURU HOUSE PRICE'!$G229&lt;=500000,"Low",
IF(' BENGALURU HOUSE PRICE'!$G229&lt;=1000000,"Medium",
IF(' BENGALURU HOUSE PRICE'!$G229&lt;=3000000,"High","Luxury")))</f>
        <v>High</v>
      </c>
    </row>
    <row r="230" spans="1:8" ht="15.75" customHeight="1" x14ac:dyDescent="0.25">
      <c r="A230" s="19" t="s">
        <v>18</v>
      </c>
      <c r="B230" s="19">
        <v>1900</v>
      </c>
      <c r="C230" s="19">
        <v>3</v>
      </c>
      <c r="D230" s="19">
        <v>2</v>
      </c>
      <c r="E230" s="23" t="s">
        <v>27</v>
      </c>
      <c r="F230" s="19" t="str">
        <f t="shared" si="0"/>
        <v>Medium</v>
      </c>
      <c r="G230" s="19">
        <v>1190000</v>
      </c>
      <c r="H230" s="19" t="str">
        <f>IF(' BENGALURU HOUSE PRICE'!$G230&lt;=500000,"Low",
IF(' BENGALURU HOUSE PRICE'!$G230&lt;=1000000,"Medium",
IF(' BENGALURU HOUSE PRICE'!$G230&lt;=3000000,"High","Luxury")))</f>
        <v>High</v>
      </c>
    </row>
    <row r="231" spans="1:8" ht="15.75" customHeight="1" x14ac:dyDescent="0.25">
      <c r="A231" s="19" t="s">
        <v>92</v>
      </c>
      <c r="B231" s="19">
        <v>805</v>
      </c>
      <c r="C231" s="19">
        <v>2</v>
      </c>
      <c r="D231" s="19">
        <v>1</v>
      </c>
      <c r="E231" s="23" t="s">
        <v>262</v>
      </c>
      <c r="F231" s="19" t="str">
        <f t="shared" si="0"/>
        <v>Small</v>
      </c>
      <c r="G231" s="19">
        <v>221400</v>
      </c>
      <c r="H231" s="19" t="str">
        <f>IF(' BENGALURU HOUSE PRICE'!$G231&lt;=500000,"Low",
IF(' BENGALURU HOUSE PRICE'!$G231&lt;=1000000,"Medium",
IF(' BENGALURU HOUSE PRICE'!$G231&lt;=3000000,"High","Luxury")))</f>
        <v>Low</v>
      </c>
    </row>
    <row r="232" spans="1:8" ht="15.75" customHeight="1" x14ac:dyDescent="0.25">
      <c r="A232" s="19" t="s">
        <v>69</v>
      </c>
      <c r="B232" s="19">
        <v>1153</v>
      </c>
      <c r="C232" s="19">
        <v>2</v>
      </c>
      <c r="D232" s="19">
        <v>2</v>
      </c>
      <c r="E232" s="23" t="s">
        <v>262</v>
      </c>
      <c r="F232" s="19" t="str">
        <f t="shared" si="0"/>
        <v>Medium</v>
      </c>
      <c r="G232" s="19">
        <v>564000</v>
      </c>
      <c r="H232" s="19" t="str">
        <f>IF(' BENGALURU HOUSE PRICE'!$G232&lt;=500000,"Low",
IF(' BENGALURU HOUSE PRICE'!$G232&lt;=1000000,"Medium",
IF(' BENGALURU HOUSE PRICE'!$G232&lt;=3000000,"High","Luxury")))</f>
        <v>Medium</v>
      </c>
    </row>
    <row r="233" spans="1:8" ht="15.75" customHeight="1" x14ac:dyDescent="0.25">
      <c r="A233" s="19" t="s">
        <v>307</v>
      </c>
      <c r="B233" s="19">
        <v>1148</v>
      </c>
      <c r="C233" s="19">
        <v>2</v>
      </c>
      <c r="D233" s="19">
        <v>2</v>
      </c>
      <c r="E233" s="23" t="s">
        <v>262</v>
      </c>
      <c r="F233" s="19" t="str">
        <f t="shared" si="0"/>
        <v>Medium</v>
      </c>
      <c r="G233" s="19">
        <v>600000</v>
      </c>
      <c r="H233" s="19" t="str">
        <f>IF(' BENGALURU HOUSE PRICE'!$G233&lt;=500000,"Low",
IF(' BENGALURU HOUSE PRICE'!$G233&lt;=1000000,"Medium",
IF(' BENGALURU HOUSE PRICE'!$G233&lt;=3000000,"High","Luxury")))</f>
        <v>Medium</v>
      </c>
    </row>
    <row r="234" spans="1:8" ht="15.75" customHeight="1" x14ac:dyDescent="0.25">
      <c r="A234" s="19" t="s">
        <v>308</v>
      </c>
      <c r="B234" s="19">
        <v>1110</v>
      </c>
      <c r="C234" s="19">
        <v>2</v>
      </c>
      <c r="D234" s="19">
        <v>2</v>
      </c>
      <c r="E234" s="23" t="s">
        <v>262</v>
      </c>
      <c r="F234" s="19" t="str">
        <f t="shared" si="0"/>
        <v>Medium</v>
      </c>
      <c r="G234" s="19">
        <v>550000</v>
      </c>
      <c r="H234" s="19" t="str">
        <f>IF(' BENGALURU HOUSE PRICE'!$G234&lt;=500000,"Low",
IF(' BENGALURU HOUSE PRICE'!$G234&lt;=1000000,"Medium",
IF(' BENGALURU HOUSE PRICE'!$G234&lt;=3000000,"High","Luxury")))</f>
        <v>Medium</v>
      </c>
    </row>
    <row r="235" spans="1:8" ht="15.75" customHeight="1" x14ac:dyDescent="0.25">
      <c r="A235" s="19" t="s">
        <v>16</v>
      </c>
      <c r="B235" s="19">
        <v>1100</v>
      </c>
      <c r="C235" s="19">
        <v>2</v>
      </c>
      <c r="D235" s="19">
        <v>2</v>
      </c>
      <c r="E235" s="23" t="s">
        <v>262</v>
      </c>
      <c r="F235" s="19" t="str">
        <f t="shared" si="0"/>
        <v>Medium</v>
      </c>
      <c r="G235" s="19">
        <v>420000</v>
      </c>
      <c r="H235" s="19" t="str">
        <f>IF(' BENGALURU HOUSE PRICE'!$G235&lt;=500000,"Low",
IF(' BENGALURU HOUSE PRICE'!$G235&lt;=1000000,"Medium",
IF(' BENGALURU HOUSE PRICE'!$G235&lt;=3000000,"High","Luxury")))</f>
        <v>Low</v>
      </c>
    </row>
    <row r="236" spans="1:8" ht="15.75" customHeight="1" x14ac:dyDescent="0.25">
      <c r="A236" s="19" t="s">
        <v>140</v>
      </c>
      <c r="B236" s="19">
        <v>1290</v>
      </c>
      <c r="C236" s="19">
        <v>2</v>
      </c>
      <c r="D236" s="19">
        <v>2</v>
      </c>
      <c r="E236" s="23" t="s">
        <v>262</v>
      </c>
      <c r="F236" s="19" t="str">
        <f t="shared" si="0"/>
        <v>Medium</v>
      </c>
      <c r="G236" s="19">
        <v>1100000</v>
      </c>
      <c r="H236" s="19" t="str">
        <f>IF(' BENGALURU HOUSE PRICE'!$G236&lt;=500000,"Low",
IF(' BENGALURU HOUSE PRICE'!$G236&lt;=1000000,"Medium",
IF(' BENGALURU HOUSE PRICE'!$G236&lt;=3000000,"High","Luxury")))</f>
        <v>High</v>
      </c>
    </row>
    <row r="237" spans="1:8" ht="15.75" customHeight="1" x14ac:dyDescent="0.25">
      <c r="A237" s="19" t="s">
        <v>95</v>
      </c>
      <c r="B237" s="19">
        <v>1500</v>
      </c>
      <c r="C237" s="19">
        <v>2</v>
      </c>
      <c r="D237" s="19">
        <v>1</v>
      </c>
      <c r="E237" s="23" t="s">
        <v>27</v>
      </c>
      <c r="F237" s="19" t="str">
        <f t="shared" si="0"/>
        <v>Medium</v>
      </c>
      <c r="G237" s="19">
        <v>650000</v>
      </c>
      <c r="H237" s="19" t="str">
        <f>IF(' BENGALURU HOUSE PRICE'!$G237&lt;=500000,"Low",
IF(' BENGALURU HOUSE PRICE'!$G237&lt;=1000000,"Medium",
IF(' BENGALURU HOUSE PRICE'!$G237&lt;=3000000,"High","Luxury")))</f>
        <v>Medium</v>
      </c>
    </row>
    <row r="238" spans="1:8" ht="15.75" customHeight="1" x14ac:dyDescent="0.25">
      <c r="A238" s="19" t="s">
        <v>309</v>
      </c>
      <c r="B238" s="19">
        <v>1080</v>
      </c>
      <c r="C238" s="19">
        <v>2</v>
      </c>
      <c r="D238" s="19">
        <v>2</v>
      </c>
      <c r="E238" s="23" t="s">
        <v>262</v>
      </c>
      <c r="F238" s="19" t="str">
        <f t="shared" si="0"/>
        <v>Medium</v>
      </c>
      <c r="G238" s="19">
        <v>390000</v>
      </c>
      <c r="H238" s="19" t="str">
        <f>IF(' BENGALURU HOUSE PRICE'!$G238&lt;=500000,"Low",
IF(' BENGALURU HOUSE PRICE'!$G238&lt;=1000000,"Medium",
IF(' BENGALURU HOUSE PRICE'!$G238&lt;=3000000,"High","Luxury")))</f>
        <v>Low</v>
      </c>
    </row>
    <row r="239" spans="1:8" ht="15.75" customHeight="1" x14ac:dyDescent="0.25">
      <c r="A239" s="19" t="s">
        <v>245</v>
      </c>
      <c r="B239" s="19">
        <v>1933</v>
      </c>
      <c r="C239" s="19">
        <v>3</v>
      </c>
      <c r="D239" s="19">
        <v>1</v>
      </c>
      <c r="E239" s="23" t="s">
        <v>27</v>
      </c>
      <c r="F239" s="19" t="str">
        <f t="shared" si="0"/>
        <v>Medium</v>
      </c>
      <c r="G239" s="19">
        <v>1290000</v>
      </c>
      <c r="H239" s="19" t="str">
        <f>IF(' BENGALURU HOUSE PRICE'!$G239&lt;=500000,"Low",
IF(' BENGALURU HOUSE PRICE'!$G239&lt;=1000000,"Medium",
IF(' BENGALURU HOUSE PRICE'!$G239&lt;=3000000,"High","Luxury")))</f>
        <v>High</v>
      </c>
    </row>
    <row r="240" spans="1:8" ht="15.75" customHeight="1" x14ac:dyDescent="0.25">
      <c r="A240" s="19" t="s">
        <v>285</v>
      </c>
      <c r="B240" s="19">
        <v>3500</v>
      </c>
      <c r="C240" s="19">
        <v>5</v>
      </c>
      <c r="D240" s="19">
        <v>2</v>
      </c>
      <c r="E240" s="23" t="s">
        <v>292</v>
      </c>
      <c r="F240" s="19" t="str">
        <f t="shared" si="0"/>
        <v>Large</v>
      </c>
      <c r="G240" s="19">
        <v>1500000</v>
      </c>
      <c r="H240" s="19" t="str">
        <f>IF(' BENGALURU HOUSE PRICE'!$G240&lt;=500000,"Low",
IF(' BENGALURU HOUSE PRICE'!$G240&lt;=1000000,"Medium",
IF(' BENGALURU HOUSE PRICE'!$G240&lt;=3000000,"High","Luxury")))</f>
        <v>High</v>
      </c>
    </row>
    <row r="241" spans="1:8" ht="15.75" customHeight="1" x14ac:dyDescent="0.25">
      <c r="A241" s="19" t="s">
        <v>310</v>
      </c>
      <c r="B241" s="19">
        <v>1060</v>
      </c>
      <c r="C241" s="19">
        <v>2</v>
      </c>
      <c r="D241" s="19">
        <v>2</v>
      </c>
      <c r="E241" s="23" t="s">
        <v>262</v>
      </c>
      <c r="F241" s="19" t="str">
        <f t="shared" si="0"/>
        <v>Medium</v>
      </c>
      <c r="G241" s="19">
        <v>600000</v>
      </c>
      <c r="H241" s="19" t="str">
        <f>IF(' BENGALURU HOUSE PRICE'!$G241&lt;=500000,"Low",
IF(' BENGALURU HOUSE PRICE'!$G241&lt;=1000000,"Medium",
IF(' BENGALURU HOUSE PRICE'!$G241&lt;=3000000,"High","Luxury")))</f>
        <v>Medium</v>
      </c>
    </row>
    <row r="242" spans="1:8" ht="15.75" customHeight="1" x14ac:dyDescent="0.25">
      <c r="A242" s="19" t="s">
        <v>74</v>
      </c>
      <c r="B242" s="19">
        <v>645</v>
      </c>
      <c r="C242" s="19">
        <v>1</v>
      </c>
      <c r="D242" s="19">
        <v>1</v>
      </c>
      <c r="E242" s="23" t="s">
        <v>267</v>
      </c>
      <c r="F242" s="19" t="str">
        <f t="shared" si="0"/>
        <v>Small</v>
      </c>
      <c r="G242" s="19">
        <v>164500</v>
      </c>
      <c r="H242" s="19" t="str">
        <f>IF(' BENGALURU HOUSE PRICE'!$G242&lt;=500000,"Low",
IF(' BENGALURU HOUSE PRICE'!$G242&lt;=1000000,"Medium",
IF(' BENGALURU HOUSE PRICE'!$G242&lt;=3000000,"High","Luxury")))</f>
        <v>Low</v>
      </c>
    </row>
    <row r="243" spans="1:8" ht="15.75" customHeight="1" x14ac:dyDescent="0.25">
      <c r="A243" s="19" t="s">
        <v>311</v>
      </c>
      <c r="B243" s="19">
        <v>2600</v>
      </c>
      <c r="C243" s="19">
        <v>8</v>
      </c>
      <c r="D243" s="19">
        <v>2</v>
      </c>
      <c r="E243" s="23" t="s">
        <v>271</v>
      </c>
      <c r="F243" s="19" t="str">
        <f t="shared" si="0"/>
        <v>Large</v>
      </c>
      <c r="G243" s="19">
        <v>1800000</v>
      </c>
      <c r="H243" s="19" t="str">
        <f>IF(' BENGALURU HOUSE PRICE'!$G243&lt;=500000,"Low",
IF(' BENGALURU HOUSE PRICE'!$G243&lt;=1000000,"Medium",
IF(' BENGALURU HOUSE PRICE'!$G243&lt;=3000000,"High","Luxury")))</f>
        <v>High</v>
      </c>
    </row>
    <row r="244" spans="1:8" ht="15.75" customHeight="1" x14ac:dyDescent="0.25">
      <c r="A244" s="19" t="s">
        <v>74</v>
      </c>
      <c r="B244" s="19">
        <v>645</v>
      </c>
      <c r="C244" s="19">
        <v>1</v>
      </c>
      <c r="D244" s="19">
        <v>1</v>
      </c>
      <c r="E244" s="23" t="s">
        <v>267</v>
      </c>
      <c r="F244" s="19" t="str">
        <f t="shared" si="0"/>
        <v>Small</v>
      </c>
      <c r="G244" s="19">
        <v>164500</v>
      </c>
      <c r="H244" s="19" t="str">
        <f>IF(' BENGALURU HOUSE PRICE'!$G244&lt;=500000,"Low",
IF(' BENGALURU HOUSE PRICE'!$G244&lt;=1000000,"Medium",
IF(' BENGALURU HOUSE PRICE'!$G244&lt;=3000000,"High","Luxury")))</f>
        <v>Low</v>
      </c>
    </row>
    <row r="245" spans="1:8" ht="15.75" customHeight="1" x14ac:dyDescent="0.25">
      <c r="A245" s="19" t="s">
        <v>43</v>
      </c>
      <c r="B245" s="19">
        <v>1644</v>
      </c>
      <c r="C245" s="19">
        <v>3</v>
      </c>
      <c r="D245" s="19">
        <v>3</v>
      </c>
      <c r="E245" s="23" t="s">
        <v>27</v>
      </c>
      <c r="F245" s="19" t="str">
        <f t="shared" si="0"/>
        <v>Medium</v>
      </c>
      <c r="G245" s="19">
        <v>840000</v>
      </c>
      <c r="H245" s="19" t="str">
        <f>IF(' BENGALURU HOUSE PRICE'!$G245&lt;=500000,"Low",
IF(' BENGALURU HOUSE PRICE'!$G245&lt;=1000000,"Medium",
IF(' BENGALURU HOUSE PRICE'!$G245&lt;=3000000,"High","Luxury")))</f>
        <v>Medium</v>
      </c>
    </row>
    <row r="246" spans="1:8" ht="15.75" customHeight="1" x14ac:dyDescent="0.25">
      <c r="A246" s="19" t="s">
        <v>312</v>
      </c>
      <c r="B246" s="19">
        <v>1285</v>
      </c>
      <c r="C246" s="19">
        <v>2</v>
      </c>
      <c r="D246" s="19">
        <v>3</v>
      </c>
      <c r="E246" s="23" t="s">
        <v>262</v>
      </c>
      <c r="F246" s="19" t="str">
        <f t="shared" si="0"/>
        <v>Medium</v>
      </c>
      <c r="G246" s="19">
        <v>725000</v>
      </c>
      <c r="H246" s="19" t="str">
        <f>IF(' BENGALURU HOUSE PRICE'!$G246&lt;=500000,"Low",
IF(' BENGALURU HOUSE PRICE'!$G246&lt;=1000000,"Medium",
IF(' BENGALURU HOUSE PRICE'!$G246&lt;=3000000,"High","Luxury")))</f>
        <v>Medium</v>
      </c>
    </row>
    <row r="247" spans="1:8" ht="15.75" customHeight="1" x14ac:dyDescent="0.25">
      <c r="A247" s="19" t="s">
        <v>16</v>
      </c>
      <c r="B247" s="19">
        <v>1200</v>
      </c>
      <c r="C247" s="19">
        <v>3</v>
      </c>
      <c r="D247" s="19">
        <v>1</v>
      </c>
      <c r="E247" s="23" t="s">
        <v>27</v>
      </c>
      <c r="F247" s="19" t="str">
        <f t="shared" si="0"/>
        <v>Medium</v>
      </c>
      <c r="G247" s="19">
        <v>900000</v>
      </c>
      <c r="H247" s="19" t="str">
        <f>IF(' BENGALURU HOUSE PRICE'!$G247&lt;=500000,"Low",
IF(' BENGALURU HOUSE PRICE'!$G247&lt;=1000000,"Medium",
IF(' BENGALURU HOUSE PRICE'!$G247&lt;=3000000,"High","Luxury")))</f>
        <v>Medium</v>
      </c>
    </row>
    <row r="248" spans="1:8" ht="15.75" customHeight="1" x14ac:dyDescent="0.25">
      <c r="A248" s="19" t="s">
        <v>16</v>
      </c>
      <c r="B248" s="19">
        <v>910</v>
      </c>
      <c r="C248" s="19">
        <v>2</v>
      </c>
      <c r="D248" s="19">
        <v>1</v>
      </c>
      <c r="E248" s="23" t="s">
        <v>262</v>
      </c>
      <c r="F248" s="19" t="str">
        <f t="shared" si="0"/>
        <v>Small</v>
      </c>
      <c r="G248" s="19">
        <v>400000</v>
      </c>
      <c r="H248" s="19" t="str">
        <f>IF(' BENGALURU HOUSE PRICE'!$G248&lt;=500000,"Low",
IF(' BENGALURU HOUSE PRICE'!$G248&lt;=1000000,"Medium",
IF(' BENGALURU HOUSE PRICE'!$G248&lt;=3000000,"High","Luxury")))</f>
        <v>Low</v>
      </c>
    </row>
    <row r="249" spans="1:8" ht="15.75" customHeight="1" x14ac:dyDescent="0.25">
      <c r="A249" s="19" t="s">
        <v>159</v>
      </c>
      <c r="B249" s="19">
        <v>1577</v>
      </c>
      <c r="C249" s="19">
        <v>3</v>
      </c>
      <c r="D249" s="19">
        <v>1</v>
      </c>
      <c r="E249" s="23" t="s">
        <v>27</v>
      </c>
      <c r="F249" s="19" t="str">
        <f t="shared" si="0"/>
        <v>Medium</v>
      </c>
      <c r="G249" s="19">
        <v>700000</v>
      </c>
      <c r="H249" s="19" t="str">
        <f>IF(' BENGALURU HOUSE PRICE'!$G249&lt;=500000,"Low",
IF(' BENGALURU HOUSE PRICE'!$G249&lt;=1000000,"Medium",
IF(' BENGALURU HOUSE PRICE'!$G249&lt;=3000000,"High","Luxury")))</f>
        <v>Medium</v>
      </c>
    </row>
    <row r="250" spans="1:8" ht="15.75" customHeight="1" x14ac:dyDescent="0.25">
      <c r="A250" s="19" t="s">
        <v>178</v>
      </c>
      <c r="B250" s="19">
        <v>4050</v>
      </c>
      <c r="C250" s="19">
        <v>3</v>
      </c>
      <c r="D250" s="19">
        <v>2</v>
      </c>
      <c r="E250" s="23" t="s">
        <v>27</v>
      </c>
      <c r="F250" s="19" t="str">
        <f t="shared" si="0"/>
        <v>Large</v>
      </c>
      <c r="G250" s="19">
        <v>2800000</v>
      </c>
      <c r="H250" s="19" t="str">
        <f>IF(' BENGALURU HOUSE PRICE'!$G250&lt;=500000,"Low",
IF(' BENGALURU HOUSE PRICE'!$G250&lt;=1000000,"Medium",
IF(' BENGALURU HOUSE PRICE'!$G250&lt;=3000000,"High","Luxury")))</f>
        <v>High</v>
      </c>
    </row>
    <row r="251" spans="1:8" ht="15.75" customHeight="1" x14ac:dyDescent="0.25">
      <c r="A251" s="19" t="s">
        <v>191</v>
      </c>
      <c r="B251" s="19">
        <v>2420</v>
      </c>
      <c r="C251" s="19">
        <v>3</v>
      </c>
      <c r="D251" s="19">
        <v>2</v>
      </c>
      <c r="E251" s="23" t="s">
        <v>27</v>
      </c>
      <c r="F251" s="19" t="str">
        <f t="shared" si="0"/>
        <v>Large</v>
      </c>
      <c r="G251" s="19">
        <v>1850000</v>
      </c>
      <c r="H251" s="19" t="str">
        <f>IF(' BENGALURU HOUSE PRICE'!$G251&lt;=500000,"Low",
IF(' BENGALURU HOUSE PRICE'!$G251&lt;=1000000,"Medium",
IF(' BENGALURU HOUSE PRICE'!$G251&lt;=3000000,"High","Luxury")))</f>
        <v>High</v>
      </c>
    </row>
    <row r="252" spans="1:8" ht="15.75" customHeight="1" x14ac:dyDescent="0.25">
      <c r="A252" s="19" t="s">
        <v>74</v>
      </c>
      <c r="B252" s="19">
        <v>800</v>
      </c>
      <c r="C252" s="19">
        <v>1</v>
      </c>
      <c r="D252" s="19">
        <v>1</v>
      </c>
      <c r="E252" s="23" t="s">
        <v>262</v>
      </c>
      <c r="F252" s="19" t="str">
        <f t="shared" si="0"/>
        <v>Small</v>
      </c>
      <c r="G252" s="19">
        <v>200000</v>
      </c>
      <c r="H252" s="19" t="str">
        <f>IF(' BENGALURU HOUSE PRICE'!$G252&lt;=500000,"Low",
IF(' BENGALURU HOUSE PRICE'!$G252&lt;=1000000,"Medium",
IF(' BENGALURU HOUSE PRICE'!$G252&lt;=3000000,"High","Luxury")))</f>
        <v>Low</v>
      </c>
    </row>
    <row r="253" spans="1:8" ht="15.75" customHeight="1" x14ac:dyDescent="0.25">
      <c r="A253" s="19" t="s">
        <v>313</v>
      </c>
      <c r="B253" s="19">
        <v>1060</v>
      </c>
      <c r="C253" s="19">
        <v>2</v>
      </c>
      <c r="D253" s="19">
        <v>2</v>
      </c>
      <c r="E253" s="23" t="s">
        <v>262</v>
      </c>
      <c r="F253" s="19" t="str">
        <f t="shared" si="0"/>
        <v>Medium</v>
      </c>
      <c r="G253" s="19">
        <v>550000</v>
      </c>
      <c r="H253" s="19" t="str">
        <f>IF(' BENGALURU HOUSE PRICE'!$G253&lt;=500000,"Low",
IF(' BENGALURU HOUSE PRICE'!$G253&lt;=1000000,"Medium",
IF(' BENGALURU HOUSE PRICE'!$G253&lt;=3000000,"High","Luxury")))</f>
        <v>Medium</v>
      </c>
    </row>
    <row r="254" spans="1:8" ht="15.75" customHeight="1" x14ac:dyDescent="0.25">
      <c r="A254" s="19" t="s">
        <v>15</v>
      </c>
      <c r="B254" s="19">
        <v>1270</v>
      </c>
      <c r="C254" s="19">
        <v>2</v>
      </c>
      <c r="D254" s="19">
        <v>2</v>
      </c>
      <c r="E254" s="23" t="s">
        <v>262</v>
      </c>
      <c r="F254" s="19" t="str">
        <f t="shared" si="0"/>
        <v>Medium</v>
      </c>
      <c r="G254" s="19">
        <v>930000</v>
      </c>
      <c r="H254" s="19" t="str">
        <f>IF(' BENGALURU HOUSE PRICE'!$G254&lt;=500000,"Low",
IF(' BENGALURU HOUSE PRICE'!$G254&lt;=1000000,"Medium",
IF(' BENGALURU HOUSE PRICE'!$G254&lt;=3000000,"High","Luxury")))</f>
        <v>Medium</v>
      </c>
    </row>
    <row r="255" spans="1:8" ht="15.75" customHeight="1" x14ac:dyDescent="0.25">
      <c r="A255" s="19" t="s">
        <v>314</v>
      </c>
      <c r="B255" s="19">
        <v>900</v>
      </c>
      <c r="C255" s="19">
        <v>2</v>
      </c>
      <c r="D255" s="19">
        <v>2</v>
      </c>
      <c r="E255" s="23" t="s">
        <v>262</v>
      </c>
      <c r="F255" s="19" t="str">
        <f t="shared" si="0"/>
        <v>Small</v>
      </c>
      <c r="G255" s="19">
        <v>225000</v>
      </c>
      <c r="H255" s="19" t="str">
        <f>IF(' BENGALURU HOUSE PRICE'!$G255&lt;=500000,"Low",
IF(' BENGALURU HOUSE PRICE'!$G255&lt;=1000000,"Medium",
IF(' BENGALURU HOUSE PRICE'!$G255&lt;=3000000,"High","Luxury")))</f>
        <v>Low</v>
      </c>
    </row>
    <row r="256" spans="1:8" ht="15.75" customHeight="1" x14ac:dyDescent="0.25">
      <c r="A256" s="19" t="s">
        <v>315</v>
      </c>
      <c r="B256" s="19">
        <v>1280</v>
      </c>
      <c r="C256" s="19">
        <v>2</v>
      </c>
      <c r="D256" s="19">
        <v>1</v>
      </c>
      <c r="E256" s="23" t="s">
        <v>262</v>
      </c>
      <c r="F256" s="19" t="str">
        <f t="shared" si="0"/>
        <v>Medium</v>
      </c>
      <c r="G256" s="19">
        <v>690000</v>
      </c>
      <c r="H256" s="19" t="str">
        <f>IF(' BENGALURU HOUSE PRICE'!$G256&lt;=500000,"Low",
IF(' BENGALURU HOUSE PRICE'!$G256&lt;=1000000,"Medium",
IF(' BENGALURU HOUSE PRICE'!$G256&lt;=3000000,"High","Luxury")))</f>
        <v>Medium</v>
      </c>
    </row>
    <row r="257" spans="1:8" ht="15.75" customHeight="1" x14ac:dyDescent="0.25">
      <c r="A257" s="19" t="s">
        <v>115</v>
      </c>
      <c r="B257" s="19">
        <v>1200</v>
      </c>
      <c r="C257" s="19">
        <v>2</v>
      </c>
      <c r="D257" s="19">
        <v>0</v>
      </c>
      <c r="E257" s="23" t="s">
        <v>264</v>
      </c>
      <c r="F257" s="19" t="str">
        <f t="shared" ref="F257:F511" si="1">IF(B257&gt;2000,"Large",IF(B257&gt;1000,"Medium","Small"))</f>
        <v>Medium</v>
      </c>
      <c r="G257" s="19">
        <v>950000</v>
      </c>
      <c r="H257" s="19" t="str">
        <f>IF(' BENGALURU HOUSE PRICE'!$G257&lt;=500000,"Low",
IF(' BENGALURU HOUSE PRICE'!$G257&lt;=1000000,"Medium",
IF(' BENGALURU HOUSE PRICE'!$G257&lt;=3000000,"High","Luxury")))</f>
        <v>Medium</v>
      </c>
    </row>
    <row r="258" spans="1:8" ht="15.75" customHeight="1" x14ac:dyDescent="0.25">
      <c r="A258" s="19" t="s">
        <v>22</v>
      </c>
      <c r="B258" s="19">
        <v>1025</v>
      </c>
      <c r="C258" s="19">
        <v>2</v>
      </c>
      <c r="D258" s="19">
        <v>2</v>
      </c>
      <c r="E258" s="23" t="s">
        <v>262</v>
      </c>
      <c r="F258" s="19" t="str">
        <f t="shared" si="1"/>
        <v>Medium</v>
      </c>
      <c r="G258" s="19">
        <v>360000</v>
      </c>
      <c r="H258" s="19" t="str">
        <f>IF(' BENGALURU HOUSE PRICE'!$G258&lt;=500000,"Low",
IF(' BENGALURU HOUSE PRICE'!$G258&lt;=1000000,"Medium",
IF(' BENGALURU HOUSE PRICE'!$G258&lt;=3000000,"High","Luxury")))</f>
        <v>Low</v>
      </c>
    </row>
    <row r="259" spans="1:8" ht="15.75" customHeight="1" x14ac:dyDescent="0.25">
      <c r="A259" s="19" t="s">
        <v>16</v>
      </c>
      <c r="B259" s="19">
        <v>1108</v>
      </c>
      <c r="C259" s="19">
        <v>2</v>
      </c>
      <c r="D259" s="19">
        <v>1</v>
      </c>
      <c r="E259" s="23" t="s">
        <v>262</v>
      </c>
      <c r="F259" s="19" t="str">
        <f t="shared" si="1"/>
        <v>Medium</v>
      </c>
      <c r="G259" s="19">
        <v>630000</v>
      </c>
      <c r="H259" s="19" t="str">
        <f>IF(' BENGALURU HOUSE PRICE'!$G259&lt;=500000,"Low",
IF(' BENGALURU HOUSE PRICE'!$G259&lt;=1000000,"Medium",
IF(' BENGALURU HOUSE PRICE'!$G259&lt;=3000000,"High","Luxury")))</f>
        <v>Medium</v>
      </c>
    </row>
    <row r="260" spans="1:8" ht="15.75" customHeight="1" x14ac:dyDescent="0.25">
      <c r="A260" s="19" t="s">
        <v>316</v>
      </c>
      <c r="B260" s="19">
        <v>1200</v>
      </c>
      <c r="C260" s="19">
        <v>5</v>
      </c>
      <c r="D260" s="19">
        <v>2</v>
      </c>
      <c r="E260" s="23" t="s">
        <v>292</v>
      </c>
      <c r="F260" s="19" t="str">
        <f t="shared" si="1"/>
        <v>Medium</v>
      </c>
      <c r="G260" s="19">
        <v>1700000</v>
      </c>
      <c r="H260" s="19" t="str">
        <f>IF(' BENGALURU HOUSE PRICE'!$G260&lt;=500000,"Low",
IF(' BENGALURU HOUSE PRICE'!$G260&lt;=1000000,"Medium",
IF(' BENGALURU HOUSE PRICE'!$G260&lt;=3000000,"High","Luxury")))</f>
        <v>High</v>
      </c>
    </row>
    <row r="261" spans="1:8" ht="15.75" customHeight="1" x14ac:dyDescent="0.25">
      <c r="A261" s="19" t="s">
        <v>81</v>
      </c>
      <c r="B261" s="19">
        <v>3045</v>
      </c>
      <c r="C261" s="19">
        <v>3</v>
      </c>
      <c r="D261" s="19">
        <v>2</v>
      </c>
      <c r="E261" s="23" t="s">
        <v>27</v>
      </c>
      <c r="F261" s="19" t="str">
        <f t="shared" si="1"/>
        <v>Large</v>
      </c>
      <c r="G261" s="19">
        <v>1700000</v>
      </c>
      <c r="H261" s="19" t="str">
        <f>IF(' BENGALURU HOUSE PRICE'!$G261&lt;=500000,"Low",
IF(' BENGALURU HOUSE PRICE'!$G261&lt;=1000000,"Medium",
IF(' BENGALURU HOUSE PRICE'!$G261&lt;=3000000,"High","Luxury")))</f>
        <v>High</v>
      </c>
    </row>
    <row r="262" spans="1:8" ht="15.75" customHeight="1" x14ac:dyDescent="0.25">
      <c r="A262" s="19" t="s">
        <v>38</v>
      </c>
      <c r="B262" s="19">
        <v>2900</v>
      </c>
      <c r="C262" s="19">
        <v>3</v>
      </c>
      <c r="D262" s="19">
        <v>2</v>
      </c>
      <c r="E262" s="23" t="s">
        <v>264</v>
      </c>
      <c r="F262" s="19" t="str">
        <f t="shared" si="1"/>
        <v>Large</v>
      </c>
      <c r="G262" s="19">
        <v>3000000</v>
      </c>
      <c r="H262" s="19" t="str">
        <f>IF(' BENGALURU HOUSE PRICE'!$G262&lt;=500000,"Low",
IF(' BENGALURU HOUSE PRICE'!$G262&lt;=1000000,"Medium",
IF(' BENGALURU HOUSE PRICE'!$G262&lt;=3000000,"High","Luxury")))</f>
        <v>High</v>
      </c>
    </row>
    <row r="263" spans="1:8" ht="15.75" customHeight="1" x14ac:dyDescent="0.25">
      <c r="A263" s="19" t="s">
        <v>245</v>
      </c>
      <c r="B263" s="19">
        <v>1500</v>
      </c>
      <c r="C263" s="19">
        <v>3</v>
      </c>
      <c r="D263" s="19">
        <v>2</v>
      </c>
      <c r="E263" s="23" t="s">
        <v>27</v>
      </c>
      <c r="F263" s="19" t="str">
        <f t="shared" si="1"/>
        <v>Medium</v>
      </c>
      <c r="G263" s="19">
        <v>755000</v>
      </c>
      <c r="H263" s="19" t="str">
        <f>IF(' BENGALURU HOUSE PRICE'!$G263&lt;=500000,"Low",
IF(' BENGALURU HOUSE PRICE'!$G263&lt;=1000000,"Medium",
IF(' BENGALURU HOUSE PRICE'!$G263&lt;=3000000,"High","Luxury")))</f>
        <v>Medium</v>
      </c>
    </row>
    <row r="264" spans="1:8" ht="15.75" customHeight="1" x14ac:dyDescent="0.25">
      <c r="A264" s="19" t="s">
        <v>21</v>
      </c>
      <c r="B264" s="19">
        <v>1295</v>
      </c>
      <c r="C264" s="19">
        <v>2</v>
      </c>
      <c r="D264" s="19">
        <v>2</v>
      </c>
      <c r="E264" s="23" t="s">
        <v>262</v>
      </c>
      <c r="F264" s="19" t="str">
        <f t="shared" si="1"/>
        <v>Medium</v>
      </c>
      <c r="G264" s="19">
        <v>439000</v>
      </c>
      <c r="H264" s="19" t="str">
        <f>IF(' BENGALURU HOUSE PRICE'!$G264&lt;=500000,"Low",
IF(' BENGALURU HOUSE PRICE'!$G264&lt;=1000000,"Medium",
IF(' BENGALURU HOUSE PRICE'!$G264&lt;=3000000,"High","Luxury")))</f>
        <v>Low</v>
      </c>
    </row>
    <row r="265" spans="1:8" ht="15.75" customHeight="1" x14ac:dyDescent="0.25">
      <c r="A265" s="19" t="s">
        <v>69</v>
      </c>
      <c r="B265" s="19">
        <v>1162</v>
      </c>
      <c r="C265" s="19">
        <v>2</v>
      </c>
      <c r="D265" s="19">
        <v>1</v>
      </c>
      <c r="E265" s="23" t="s">
        <v>262</v>
      </c>
      <c r="F265" s="19" t="str">
        <f t="shared" si="1"/>
        <v>Medium</v>
      </c>
      <c r="G265" s="19">
        <v>599000</v>
      </c>
      <c r="H265" s="19" t="str">
        <f>IF(' BENGALURU HOUSE PRICE'!$G265&lt;=500000,"Low",
IF(' BENGALURU HOUSE PRICE'!$G265&lt;=1000000,"Medium",
IF(' BENGALURU HOUSE PRICE'!$G265&lt;=3000000,"High","Luxury")))</f>
        <v>Medium</v>
      </c>
    </row>
    <row r="266" spans="1:8" ht="15.75" customHeight="1" x14ac:dyDescent="0.25">
      <c r="A266" s="19" t="s">
        <v>22</v>
      </c>
      <c r="B266" s="19">
        <v>1035</v>
      </c>
      <c r="C266" s="19">
        <v>2</v>
      </c>
      <c r="D266" s="19">
        <v>2</v>
      </c>
      <c r="E266" s="23" t="s">
        <v>262</v>
      </c>
      <c r="F266" s="19" t="str">
        <f t="shared" si="1"/>
        <v>Medium</v>
      </c>
      <c r="G266" s="19">
        <v>492000</v>
      </c>
      <c r="H266" s="19" t="str">
        <f>IF(' BENGALURU HOUSE PRICE'!$G266&lt;=500000,"Low",
IF(' BENGALURU HOUSE PRICE'!$G266&lt;=1000000,"Medium",
IF(' BENGALURU HOUSE PRICE'!$G266&lt;=3000000,"High","Luxury")))</f>
        <v>Low</v>
      </c>
    </row>
    <row r="267" spans="1:8" ht="15.75" customHeight="1" x14ac:dyDescent="0.25">
      <c r="A267" s="19" t="s">
        <v>299</v>
      </c>
      <c r="B267" s="19">
        <v>1600</v>
      </c>
      <c r="C267" s="19">
        <v>4</v>
      </c>
      <c r="D267" s="19">
        <v>0</v>
      </c>
      <c r="E267" s="23" t="s">
        <v>264</v>
      </c>
      <c r="F267" s="19" t="str">
        <f t="shared" si="1"/>
        <v>Medium</v>
      </c>
      <c r="G267" s="19">
        <v>528000</v>
      </c>
      <c r="H267" s="19" t="str">
        <f>IF(' BENGALURU HOUSE PRICE'!$G267&lt;=500000,"Low",
IF(' BENGALURU HOUSE PRICE'!$G267&lt;=1000000,"Medium",
IF(' BENGALURU HOUSE PRICE'!$G267&lt;=3000000,"High","Luxury")))</f>
        <v>Medium</v>
      </c>
    </row>
    <row r="268" spans="1:8" ht="15.75" customHeight="1" x14ac:dyDescent="0.25">
      <c r="A268" s="19" t="s">
        <v>161</v>
      </c>
      <c r="B268" s="19">
        <v>1464</v>
      </c>
      <c r="C268" s="19">
        <v>3</v>
      </c>
      <c r="D268" s="19">
        <v>2</v>
      </c>
      <c r="E268" s="23" t="s">
        <v>27</v>
      </c>
      <c r="F268" s="19" t="str">
        <f t="shared" si="1"/>
        <v>Medium</v>
      </c>
      <c r="G268" s="19">
        <v>460000</v>
      </c>
      <c r="H268" s="19" t="str">
        <f>IF(' BENGALURU HOUSE PRICE'!$G268&lt;=500000,"Low",
IF(' BENGALURU HOUSE PRICE'!$G268&lt;=1000000,"Medium",
IF(' BENGALURU HOUSE PRICE'!$G268&lt;=3000000,"High","Luxury")))</f>
        <v>Low</v>
      </c>
    </row>
    <row r="269" spans="1:8" ht="15.75" customHeight="1" x14ac:dyDescent="0.25">
      <c r="A269" s="19" t="s">
        <v>111</v>
      </c>
      <c r="B269" s="19">
        <v>1866</v>
      </c>
      <c r="C269" s="19">
        <v>2</v>
      </c>
      <c r="D269" s="19">
        <v>2</v>
      </c>
      <c r="E269" s="23" t="s">
        <v>27</v>
      </c>
      <c r="F269" s="19" t="str">
        <f t="shared" si="1"/>
        <v>Medium</v>
      </c>
      <c r="G269" s="19">
        <v>615800</v>
      </c>
      <c r="H269" s="19" t="str">
        <f>IF(' BENGALURU HOUSE PRICE'!$G269&lt;=500000,"Low",
IF(' BENGALURU HOUSE PRICE'!$G269&lt;=1000000,"Medium",
IF(' BENGALURU HOUSE PRICE'!$G269&lt;=3000000,"High","Luxury")))</f>
        <v>Medium</v>
      </c>
    </row>
    <row r="270" spans="1:8" ht="15.75" customHeight="1" x14ac:dyDescent="0.25">
      <c r="A270" s="19" t="s">
        <v>317</v>
      </c>
      <c r="B270" s="19">
        <v>700</v>
      </c>
      <c r="C270" s="19">
        <v>1</v>
      </c>
      <c r="D270" s="19">
        <v>1</v>
      </c>
      <c r="E270" s="23" t="s">
        <v>262</v>
      </c>
      <c r="F270" s="19" t="str">
        <f t="shared" si="1"/>
        <v>Small</v>
      </c>
      <c r="G270" s="19">
        <v>260000</v>
      </c>
      <c r="H270" s="19" t="str">
        <f>IF(' BENGALURU HOUSE PRICE'!$G270&lt;=500000,"Low",
IF(' BENGALURU HOUSE PRICE'!$G270&lt;=1000000,"Medium",
IF(' BENGALURU HOUSE PRICE'!$G270&lt;=3000000,"High","Luxury")))</f>
        <v>Low</v>
      </c>
    </row>
    <row r="271" spans="1:8" ht="15.75" customHeight="1" x14ac:dyDescent="0.25">
      <c r="A271" s="19" t="s">
        <v>139</v>
      </c>
      <c r="B271" s="19">
        <v>1804</v>
      </c>
      <c r="C271" s="19">
        <v>3</v>
      </c>
      <c r="D271" s="19">
        <v>2</v>
      </c>
      <c r="E271" s="23" t="s">
        <v>27</v>
      </c>
      <c r="F271" s="19" t="str">
        <f t="shared" si="1"/>
        <v>Medium</v>
      </c>
      <c r="G271" s="19">
        <v>1200000</v>
      </c>
      <c r="H271" s="19" t="str">
        <f>IF(' BENGALURU HOUSE PRICE'!$G271&lt;=500000,"Low",
IF(' BENGALURU HOUSE PRICE'!$G271&lt;=1000000,"Medium",
IF(' BENGALURU HOUSE PRICE'!$G271&lt;=3000000,"High","Luxury")))</f>
        <v>High</v>
      </c>
    </row>
    <row r="272" spans="1:8" ht="15.75" customHeight="1" x14ac:dyDescent="0.25">
      <c r="A272" s="19" t="s">
        <v>210</v>
      </c>
      <c r="B272" s="19">
        <v>913</v>
      </c>
      <c r="C272" s="19">
        <v>2</v>
      </c>
      <c r="D272" s="19">
        <v>1</v>
      </c>
      <c r="E272" s="23" t="s">
        <v>262</v>
      </c>
      <c r="F272" s="19" t="str">
        <f t="shared" si="1"/>
        <v>Small</v>
      </c>
      <c r="G272" s="19">
        <v>320000</v>
      </c>
      <c r="H272" s="19" t="str">
        <f>IF(' BENGALURU HOUSE PRICE'!$G272&lt;=500000,"Low",
IF(' BENGALURU HOUSE PRICE'!$G272&lt;=1000000,"Medium",
IF(' BENGALURU HOUSE PRICE'!$G272&lt;=3000000,"High","Luxury")))</f>
        <v>Low</v>
      </c>
    </row>
    <row r="273" spans="1:8" ht="15.75" customHeight="1" x14ac:dyDescent="0.25">
      <c r="A273" s="19" t="s">
        <v>228</v>
      </c>
      <c r="B273" s="19">
        <v>1868</v>
      </c>
      <c r="C273" s="19">
        <v>3</v>
      </c>
      <c r="D273" s="19">
        <v>2</v>
      </c>
      <c r="E273" s="23" t="s">
        <v>27</v>
      </c>
      <c r="F273" s="19" t="str">
        <f t="shared" si="1"/>
        <v>Medium</v>
      </c>
      <c r="G273" s="19">
        <v>1310000</v>
      </c>
      <c r="H273" s="19" t="str">
        <f>IF(' BENGALURU HOUSE PRICE'!$G273&lt;=500000,"Low",
IF(' BENGALURU HOUSE PRICE'!$G273&lt;=1000000,"Medium",
IF(' BENGALURU HOUSE PRICE'!$G273&lt;=3000000,"High","Luxury")))</f>
        <v>High</v>
      </c>
    </row>
    <row r="274" spans="1:8" ht="15.75" customHeight="1" x14ac:dyDescent="0.25">
      <c r="A274" s="19" t="s">
        <v>149</v>
      </c>
      <c r="B274" s="19">
        <v>883</v>
      </c>
      <c r="C274" s="19">
        <v>2</v>
      </c>
      <c r="D274" s="19">
        <v>1</v>
      </c>
      <c r="E274" s="23" t="s">
        <v>262</v>
      </c>
      <c r="F274" s="19" t="str">
        <f t="shared" si="1"/>
        <v>Small</v>
      </c>
      <c r="G274" s="19">
        <v>450000</v>
      </c>
      <c r="H274" s="19" t="str">
        <f>IF(' BENGALURU HOUSE PRICE'!$G274&lt;=500000,"Low",
IF(' BENGALURU HOUSE PRICE'!$G274&lt;=1000000,"Medium",
IF(' BENGALURU HOUSE PRICE'!$G274&lt;=3000000,"High","Luxury")))</f>
        <v>Low</v>
      </c>
    </row>
    <row r="275" spans="1:8" ht="15.75" customHeight="1" x14ac:dyDescent="0.25">
      <c r="A275" s="19" t="s">
        <v>318</v>
      </c>
      <c r="B275" s="19">
        <v>900</v>
      </c>
      <c r="C275" s="19">
        <v>2</v>
      </c>
      <c r="D275" s="19">
        <v>1</v>
      </c>
      <c r="E275" s="23" t="s">
        <v>262</v>
      </c>
      <c r="F275" s="19" t="str">
        <f t="shared" si="1"/>
        <v>Small</v>
      </c>
      <c r="G275" s="19">
        <v>1100000</v>
      </c>
      <c r="H275" s="19" t="str">
        <f>IF(' BENGALURU HOUSE PRICE'!$G275&lt;=500000,"Low",
IF(' BENGALURU HOUSE PRICE'!$G275&lt;=1000000,"Medium",
IF(' BENGALURU HOUSE PRICE'!$G275&lt;=3000000,"High","Luxury")))</f>
        <v>High</v>
      </c>
    </row>
    <row r="276" spans="1:8" ht="15.75" customHeight="1" x14ac:dyDescent="0.25">
      <c r="A276" s="19" t="s">
        <v>155</v>
      </c>
      <c r="B276" s="19">
        <v>1664</v>
      </c>
      <c r="C276" s="19">
        <v>2</v>
      </c>
      <c r="D276" s="19">
        <v>3</v>
      </c>
      <c r="E276" s="23" t="s">
        <v>27</v>
      </c>
      <c r="F276" s="19" t="str">
        <f t="shared" si="1"/>
        <v>Medium</v>
      </c>
      <c r="G276" s="19">
        <v>739500</v>
      </c>
      <c r="H276" s="19" t="str">
        <f>IF(' BENGALURU HOUSE PRICE'!$G276&lt;=500000,"Low",
IF(' BENGALURU HOUSE PRICE'!$G276&lt;=1000000,"Medium",
IF(' BENGALURU HOUSE PRICE'!$G276&lt;=3000000,"High","Luxury")))</f>
        <v>Medium</v>
      </c>
    </row>
    <row r="277" spans="1:8" ht="15.75" customHeight="1" x14ac:dyDescent="0.25">
      <c r="A277" s="19" t="s">
        <v>110</v>
      </c>
      <c r="B277" s="19">
        <v>2026</v>
      </c>
      <c r="C277" s="19">
        <v>3</v>
      </c>
      <c r="D277" s="19">
        <v>2</v>
      </c>
      <c r="E277" s="23" t="s">
        <v>27</v>
      </c>
      <c r="F277" s="19" t="str">
        <f t="shared" si="1"/>
        <v>Large</v>
      </c>
      <c r="G277" s="19">
        <v>1320000</v>
      </c>
      <c r="H277" s="19" t="str">
        <f>IF(' BENGALURU HOUSE PRICE'!$G277&lt;=500000,"Low",
IF(' BENGALURU HOUSE PRICE'!$G277&lt;=1000000,"Medium",
IF(' BENGALURU HOUSE PRICE'!$G277&lt;=3000000,"High","Luxury")))</f>
        <v>High</v>
      </c>
    </row>
    <row r="278" spans="1:8" ht="15.75" customHeight="1" x14ac:dyDescent="0.25">
      <c r="A278" s="19" t="s">
        <v>47</v>
      </c>
      <c r="B278" s="19">
        <v>1210</v>
      </c>
      <c r="C278" s="19">
        <v>2</v>
      </c>
      <c r="D278" s="19">
        <v>1</v>
      </c>
      <c r="E278" s="23" t="s">
        <v>262</v>
      </c>
      <c r="F278" s="19" t="str">
        <f t="shared" si="1"/>
        <v>Medium</v>
      </c>
      <c r="G278" s="19">
        <v>809000</v>
      </c>
      <c r="H278" s="19" t="str">
        <f>IF(' BENGALURU HOUSE PRICE'!$G278&lt;=500000,"Low",
IF(' BENGALURU HOUSE PRICE'!$G278&lt;=1000000,"Medium",
IF(' BENGALURU HOUSE PRICE'!$G278&lt;=3000000,"High","Luxury")))</f>
        <v>Medium</v>
      </c>
    </row>
    <row r="279" spans="1:8" ht="15.75" customHeight="1" x14ac:dyDescent="0.25">
      <c r="A279" s="19" t="s">
        <v>178</v>
      </c>
      <c r="B279" s="19">
        <v>4111</v>
      </c>
      <c r="C279" s="19">
        <v>4</v>
      </c>
      <c r="D279" s="19">
        <v>2</v>
      </c>
      <c r="E279" s="23" t="s">
        <v>264</v>
      </c>
      <c r="F279" s="19" t="str">
        <f t="shared" si="1"/>
        <v>Large</v>
      </c>
      <c r="G279" s="19">
        <v>2500000</v>
      </c>
      <c r="H279" s="19" t="str">
        <f>IF(' BENGALURU HOUSE PRICE'!$G279&lt;=500000,"Low",
IF(' BENGALURU HOUSE PRICE'!$G279&lt;=1000000,"Medium",
IF(' BENGALURU HOUSE PRICE'!$G279&lt;=3000000,"High","Luxury")))</f>
        <v>High</v>
      </c>
    </row>
    <row r="280" spans="1:8" ht="15.75" customHeight="1" x14ac:dyDescent="0.25">
      <c r="A280" s="19" t="s">
        <v>136</v>
      </c>
      <c r="B280" s="19">
        <v>1762</v>
      </c>
      <c r="C280" s="19">
        <v>3</v>
      </c>
      <c r="D280" s="19">
        <v>3</v>
      </c>
      <c r="E280" s="23" t="s">
        <v>27</v>
      </c>
      <c r="F280" s="19" t="str">
        <f t="shared" si="1"/>
        <v>Medium</v>
      </c>
      <c r="G280" s="19">
        <v>914500</v>
      </c>
      <c r="H280" s="19" t="str">
        <f>IF(' BENGALURU HOUSE PRICE'!$G280&lt;=500000,"Low",
IF(' BENGALURU HOUSE PRICE'!$G280&lt;=1000000,"Medium",
IF(' BENGALURU HOUSE PRICE'!$G280&lt;=3000000,"High","Luxury")))</f>
        <v>Medium</v>
      </c>
    </row>
    <row r="281" spans="1:8" ht="15.75" customHeight="1" x14ac:dyDescent="0.25">
      <c r="A281" s="19" t="s">
        <v>133</v>
      </c>
      <c r="B281" s="19">
        <v>1252</v>
      </c>
      <c r="C281" s="19">
        <v>3</v>
      </c>
      <c r="D281" s="19">
        <v>3</v>
      </c>
      <c r="E281" s="23" t="s">
        <v>27</v>
      </c>
      <c r="F281" s="19" t="str">
        <f t="shared" si="1"/>
        <v>Medium</v>
      </c>
      <c r="G281" s="19">
        <v>550000</v>
      </c>
      <c r="H281" s="19" t="str">
        <f>IF(' BENGALURU HOUSE PRICE'!$G281&lt;=500000,"Low",
IF(' BENGALURU HOUSE PRICE'!$G281&lt;=1000000,"Medium",
IF(' BENGALURU HOUSE PRICE'!$G281&lt;=3000000,"High","Luxury")))</f>
        <v>Medium</v>
      </c>
    </row>
    <row r="282" spans="1:8" ht="15.75" customHeight="1" x14ac:dyDescent="0.25">
      <c r="A282" s="19" t="s">
        <v>319</v>
      </c>
      <c r="B282" s="19">
        <v>861</v>
      </c>
      <c r="C282" s="19">
        <v>2</v>
      </c>
      <c r="D282" s="19">
        <v>1</v>
      </c>
      <c r="E282" s="23" t="s">
        <v>262</v>
      </c>
      <c r="F282" s="19" t="str">
        <f t="shared" si="1"/>
        <v>Small</v>
      </c>
      <c r="G282" s="19">
        <v>345000</v>
      </c>
      <c r="H282" s="19" t="str">
        <f>IF(' BENGALURU HOUSE PRICE'!$G282&lt;=500000,"Low",
IF(' BENGALURU HOUSE PRICE'!$G282&lt;=1000000,"Medium",
IF(' BENGALURU HOUSE PRICE'!$G282&lt;=3000000,"High","Luxury")))</f>
        <v>Low</v>
      </c>
    </row>
    <row r="283" spans="1:8" ht="15.75" customHeight="1" x14ac:dyDescent="0.25">
      <c r="A283" s="19" t="s">
        <v>15</v>
      </c>
      <c r="B283" s="19">
        <v>1420</v>
      </c>
      <c r="C283" s="19">
        <v>2</v>
      </c>
      <c r="D283" s="19">
        <v>1</v>
      </c>
      <c r="E283" s="23" t="s">
        <v>27</v>
      </c>
      <c r="F283" s="19" t="str">
        <f t="shared" si="1"/>
        <v>Medium</v>
      </c>
      <c r="G283" s="19">
        <v>1000000</v>
      </c>
      <c r="H283" s="19" t="str">
        <f>IF(' BENGALURU HOUSE PRICE'!$G283&lt;=500000,"Low",
IF(' BENGALURU HOUSE PRICE'!$G283&lt;=1000000,"Medium",
IF(' BENGALURU HOUSE PRICE'!$G283&lt;=3000000,"High","Luxury")))</f>
        <v>Medium</v>
      </c>
    </row>
    <row r="284" spans="1:8" ht="15.75" customHeight="1" x14ac:dyDescent="0.25">
      <c r="A284" s="19" t="s">
        <v>320</v>
      </c>
      <c r="B284" s="19">
        <v>1450</v>
      </c>
      <c r="C284" s="19">
        <v>6</v>
      </c>
      <c r="D284" s="19">
        <v>0</v>
      </c>
      <c r="E284" s="23" t="s">
        <v>266</v>
      </c>
      <c r="F284" s="19" t="str">
        <f t="shared" si="1"/>
        <v>Medium</v>
      </c>
      <c r="G284" s="19">
        <v>2500000</v>
      </c>
      <c r="H284" s="19" t="str">
        <f>IF(' BENGALURU HOUSE PRICE'!$G284&lt;=500000,"Low",
IF(' BENGALURU HOUSE PRICE'!$G284&lt;=1000000,"Medium",
IF(' BENGALURU HOUSE PRICE'!$G284&lt;=3000000,"High","Luxury")))</f>
        <v>High</v>
      </c>
    </row>
    <row r="285" spans="1:8" ht="15.75" customHeight="1" x14ac:dyDescent="0.25">
      <c r="A285" s="19" t="s">
        <v>97</v>
      </c>
      <c r="B285" s="19">
        <v>1490</v>
      </c>
      <c r="C285" s="19">
        <v>3</v>
      </c>
      <c r="D285" s="19">
        <v>1</v>
      </c>
      <c r="E285" s="23" t="s">
        <v>27</v>
      </c>
      <c r="F285" s="19" t="str">
        <f t="shared" si="1"/>
        <v>Medium</v>
      </c>
      <c r="G285" s="19">
        <v>788000</v>
      </c>
      <c r="H285" s="19" t="str">
        <f>IF(' BENGALURU HOUSE PRICE'!$G285&lt;=500000,"Low",
IF(' BENGALURU HOUSE PRICE'!$G285&lt;=1000000,"Medium",
IF(' BENGALURU HOUSE PRICE'!$G285&lt;=3000000,"High","Luxury")))</f>
        <v>Medium</v>
      </c>
    </row>
    <row r="286" spans="1:8" ht="15.75" customHeight="1" x14ac:dyDescent="0.25">
      <c r="A286" s="19" t="s">
        <v>65</v>
      </c>
      <c r="B286" s="19">
        <v>1075</v>
      </c>
      <c r="C286" s="19">
        <v>2</v>
      </c>
      <c r="D286" s="19">
        <v>1</v>
      </c>
      <c r="E286" s="23" t="s">
        <v>27</v>
      </c>
      <c r="F286" s="19" t="str">
        <f t="shared" si="1"/>
        <v>Medium</v>
      </c>
      <c r="G286" s="19">
        <v>460000</v>
      </c>
      <c r="H286" s="19" t="str">
        <f>IF(' BENGALURU HOUSE PRICE'!$G286&lt;=500000,"Low",
IF(' BENGALURU HOUSE PRICE'!$G286&lt;=1000000,"Medium",
IF(' BENGALURU HOUSE PRICE'!$G286&lt;=3000000,"High","Luxury")))</f>
        <v>Low</v>
      </c>
    </row>
    <row r="287" spans="1:8" ht="15.75" customHeight="1" x14ac:dyDescent="0.25">
      <c r="A287" s="19" t="s">
        <v>190</v>
      </c>
      <c r="B287" s="19">
        <v>1425</v>
      </c>
      <c r="C287" s="19">
        <v>2</v>
      </c>
      <c r="D287" s="19">
        <v>2</v>
      </c>
      <c r="E287" s="23" t="s">
        <v>27</v>
      </c>
      <c r="F287" s="19" t="str">
        <f t="shared" si="1"/>
        <v>Medium</v>
      </c>
      <c r="G287" s="19">
        <v>940000</v>
      </c>
      <c r="H287" s="19" t="str">
        <f>IF(' BENGALURU HOUSE PRICE'!$G287&lt;=500000,"Low",
IF(' BENGALURU HOUSE PRICE'!$G287&lt;=1000000,"Medium",
IF(' BENGALURU HOUSE PRICE'!$G287&lt;=3000000,"High","Luxury")))</f>
        <v>Medium</v>
      </c>
    </row>
    <row r="288" spans="1:8" ht="15.75" customHeight="1" x14ac:dyDescent="0.25">
      <c r="A288" s="19" t="s">
        <v>139</v>
      </c>
      <c r="B288" s="19">
        <v>1200</v>
      </c>
      <c r="C288" s="19">
        <v>2</v>
      </c>
      <c r="D288" s="19">
        <v>1</v>
      </c>
      <c r="E288" s="23" t="s">
        <v>262</v>
      </c>
      <c r="F288" s="19" t="str">
        <f t="shared" si="1"/>
        <v>Medium</v>
      </c>
      <c r="G288" s="19">
        <v>400000</v>
      </c>
      <c r="H288" s="19" t="str">
        <f>IF(' BENGALURU HOUSE PRICE'!$G288&lt;=500000,"Low",
IF(' BENGALURU HOUSE PRICE'!$G288&lt;=1000000,"Medium",
IF(' BENGALURU HOUSE PRICE'!$G288&lt;=3000000,"High","Luxury")))</f>
        <v>Low</v>
      </c>
    </row>
    <row r="289" spans="1:8" ht="15.75" customHeight="1" x14ac:dyDescent="0.25">
      <c r="A289" s="19" t="s">
        <v>137</v>
      </c>
      <c r="B289" s="19">
        <v>1280</v>
      </c>
      <c r="C289" s="19">
        <v>2</v>
      </c>
      <c r="D289" s="19">
        <v>2</v>
      </c>
      <c r="E289" s="23" t="s">
        <v>27</v>
      </c>
      <c r="F289" s="19" t="str">
        <f t="shared" si="1"/>
        <v>Medium</v>
      </c>
      <c r="G289" s="19">
        <v>560000</v>
      </c>
      <c r="H289" s="19" t="str">
        <f>IF(' BENGALURU HOUSE PRICE'!$G289&lt;=500000,"Low",
IF(' BENGALURU HOUSE PRICE'!$G289&lt;=1000000,"Medium",
IF(' BENGALURU HOUSE PRICE'!$G289&lt;=3000000,"High","Luxury")))</f>
        <v>Medium</v>
      </c>
    </row>
    <row r="290" spans="1:8" ht="15.75" customHeight="1" x14ac:dyDescent="0.25">
      <c r="A290" s="19" t="s">
        <v>215</v>
      </c>
      <c r="B290" s="19">
        <v>1084</v>
      </c>
      <c r="C290" s="19">
        <v>2</v>
      </c>
      <c r="D290" s="19">
        <v>2</v>
      </c>
      <c r="E290" s="23" t="s">
        <v>262</v>
      </c>
      <c r="F290" s="19" t="str">
        <f t="shared" si="1"/>
        <v>Medium</v>
      </c>
      <c r="G290" s="19">
        <v>500000</v>
      </c>
      <c r="H290" s="19" t="str">
        <f>IF(' BENGALURU HOUSE PRICE'!$G290&lt;=500000,"Low",
IF(' BENGALURU HOUSE PRICE'!$G290&lt;=1000000,"Medium",
IF(' BENGALURU HOUSE PRICE'!$G290&lt;=3000000,"High","Luxury")))</f>
        <v>Low</v>
      </c>
    </row>
    <row r="291" spans="1:8" ht="15.75" customHeight="1" x14ac:dyDescent="0.25">
      <c r="A291" s="19" t="s">
        <v>74</v>
      </c>
      <c r="B291" s="19">
        <v>1015</v>
      </c>
      <c r="C291" s="19">
        <v>2</v>
      </c>
      <c r="D291" s="19">
        <v>2</v>
      </c>
      <c r="E291" s="23" t="s">
        <v>262</v>
      </c>
      <c r="F291" s="19" t="str">
        <f t="shared" si="1"/>
        <v>Medium</v>
      </c>
      <c r="G291" s="19">
        <v>258800</v>
      </c>
      <c r="H291" s="19" t="str">
        <f>IF(' BENGALURU HOUSE PRICE'!$G291&lt;=500000,"Low",
IF(' BENGALURU HOUSE PRICE'!$G291&lt;=1000000,"Medium",
IF(' BENGALURU HOUSE PRICE'!$G291&lt;=3000000,"High","Luxury")))</f>
        <v>Low</v>
      </c>
    </row>
    <row r="292" spans="1:8" ht="15.75" customHeight="1" x14ac:dyDescent="0.25">
      <c r="A292" s="19" t="s">
        <v>19</v>
      </c>
      <c r="B292" s="19">
        <v>1017</v>
      </c>
      <c r="C292" s="19">
        <v>2</v>
      </c>
      <c r="D292" s="19">
        <v>1</v>
      </c>
      <c r="E292" s="23" t="s">
        <v>262</v>
      </c>
      <c r="F292" s="19" t="str">
        <f t="shared" si="1"/>
        <v>Medium</v>
      </c>
      <c r="G292" s="19">
        <v>512500</v>
      </c>
      <c r="H292" s="19" t="str">
        <f>IF(' BENGALURU HOUSE PRICE'!$G292&lt;=500000,"Low",
IF(' BENGALURU HOUSE PRICE'!$G292&lt;=1000000,"Medium",
IF(' BENGALURU HOUSE PRICE'!$G292&lt;=3000000,"High","Luxury")))</f>
        <v>Medium</v>
      </c>
    </row>
    <row r="293" spans="1:8" ht="15.75" customHeight="1" x14ac:dyDescent="0.25">
      <c r="A293" s="19" t="s">
        <v>17</v>
      </c>
      <c r="B293" s="19">
        <v>1027</v>
      </c>
      <c r="C293" s="19">
        <v>2</v>
      </c>
      <c r="D293" s="19">
        <v>2</v>
      </c>
      <c r="E293" s="23" t="s">
        <v>262</v>
      </c>
      <c r="F293" s="19" t="str">
        <f t="shared" si="1"/>
        <v>Medium</v>
      </c>
      <c r="G293" s="19">
        <v>440000</v>
      </c>
      <c r="H293" s="19" t="str">
        <f>IF(' BENGALURU HOUSE PRICE'!$G293&lt;=500000,"Low",
IF(' BENGALURU HOUSE PRICE'!$G293&lt;=1000000,"Medium",
IF(' BENGALURU HOUSE PRICE'!$G293&lt;=3000000,"High","Luxury")))</f>
        <v>Low</v>
      </c>
    </row>
    <row r="294" spans="1:8" ht="15.75" customHeight="1" x14ac:dyDescent="0.25">
      <c r="A294" s="19" t="s">
        <v>96</v>
      </c>
      <c r="B294" s="19">
        <v>1069</v>
      </c>
      <c r="C294" s="19">
        <v>2</v>
      </c>
      <c r="D294" s="19">
        <v>2</v>
      </c>
      <c r="E294" s="23" t="s">
        <v>262</v>
      </c>
      <c r="F294" s="19" t="str">
        <f t="shared" si="1"/>
        <v>Medium</v>
      </c>
      <c r="G294" s="19">
        <v>450000</v>
      </c>
      <c r="H294" s="19" t="str">
        <f>IF(' BENGALURU HOUSE PRICE'!$G294&lt;=500000,"Low",
IF(' BENGALURU HOUSE PRICE'!$G294&lt;=1000000,"Medium",
IF(' BENGALURU HOUSE PRICE'!$G294&lt;=3000000,"High","Luxury")))</f>
        <v>Low</v>
      </c>
    </row>
    <row r="295" spans="1:8" ht="15.75" customHeight="1" x14ac:dyDescent="0.25">
      <c r="A295" s="19" t="s">
        <v>18</v>
      </c>
      <c r="B295" s="19">
        <v>1349</v>
      </c>
      <c r="C295" s="19">
        <v>2</v>
      </c>
      <c r="D295" s="19">
        <v>1</v>
      </c>
      <c r="E295" s="23" t="s">
        <v>262</v>
      </c>
      <c r="F295" s="19" t="str">
        <f t="shared" si="1"/>
        <v>Medium</v>
      </c>
      <c r="G295" s="19">
        <v>982000</v>
      </c>
      <c r="H295" s="19" t="str">
        <f>IF(' BENGALURU HOUSE PRICE'!$G295&lt;=500000,"Low",
IF(' BENGALURU HOUSE PRICE'!$G295&lt;=1000000,"Medium",
IF(' BENGALURU HOUSE PRICE'!$G295&lt;=3000000,"High","Luxury")))</f>
        <v>Medium</v>
      </c>
    </row>
    <row r="296" spans="1:8" ht="15.75" customHeight="1" x14ac:dyDescent="0.25">
      <c r="A296" s="19" t="s">
        <v>321</v>
      </c>
      <c r="B296" s="19">
        <v>1005</v>
      </c>
      <c r="C296" s="19">
        <v>2</v>
      </c>
      <c r="D296" s="19">
        <v>1</v>
      </c>
      <c r="E296" s="23" t="s">
        <v>262</v>
      </c>
      <c r="F296" s="19" t="str">
        <f t="shared" si="1"/>
        <v>Medium</v>
      </c>
      <c r="G296" s="19">
        <v>500000</v>
      </c>
      <c r="H296" s="19" t="str">
        <f>IF(' BENGALURU HOUSE PRICE'!$G296&lt;=500000,"Low",
IF(' BENGALURU HOUSE PRICE'!$G296&lt;=1000000,"Medium",
IF(' BENGALURU HOUSE PRICE'!$G296&lt;=3000000,"High","Luxury")))</f>
        <v>Low</v>
      </c>
    </row>
    <row r="297" spans="1:8" ht="15.75" customHeight="1" x14ac:dyDescent="0.25">
      <c r="A297" s="19" t="s">
        <v>129</v>
      </c>
      <c r="B297" s="19">
        <v>1417</v>
      </c>
      <c r="C297" s="19">
        <v>2</v>
      </c>
      <c r="D297" s="19">
        <v>3</v>
      </c>
      <c r="E297" s="23" t="s">
        <v>262</v>
      </c>
      <c r="F297" s="19" t="str">
        <f t="shared" si="1"/>
        <v>Medium</v>
      </c>
      <c r="G297" s="19">
        <v>750000</v>
      </c>
      <c r="H297" s="19" t="str">
        <f>IF(' BENGALURU HOUSE PRICE'!$G297&lt;=500000,"Low",
IF(' BENGALURU HOUSE PRICE'!$G297&lt;=1000000,"Medium",
IF(' BENGALURU HOUSE PRICE'!$G297&lt;=3000000,"High","Luxury")))</f>
        <v>Medium</v>
      </c>
    </row>
    <row r="298" spans="1:8" ht="15.75" customHeight="1" x14ac:dyDescent="0.25">
      <c r="A298" s="19" t="s">
        <v>229</v>
      </c>
      <c r="B298" s="19">
        <v>1475</v>
      </c>
      <c r="C298" s="19">
        <v>3</v>
      </c>
      <c r="D298" s="19">
        <v>1</v>
      </c>
      <c r="E298" s="23" t="s">
        <v>27</v>
      </c>
      <c r="F298" s="19" t="str">
        <f t="shared" si="1"/>
        <v>Medium</v>
      </c>
      <c r="G298" s="19">
        <v>980000</v>
      </c>
      <c r="H298" s="19" t="str">
        <f>IF(' BENGALURU HOUSE PRICE'!$G298&lt;=500000,"Low",
IF(' BENGALURU HOUSE PRICE'!$G298&lt;=1000000,"Medium",
IF(' BENGALURU HOUSE PRICE'!$G298&lt;=3000000,"High","Luxury")))</f>
        <v>Medium</v>
      </c>
    </row>
    <row r="299" spans="1:8" ht="15.75" customHeight="1" x14ac:dyDescent="0.25">
      <c r="A299" s="19" t="s">
        <v>322</v>
      </c>
      <c r="B299" s="19">
        <v>950</v>
      </c>
      <c r="C299" s="19">
        <v>2</v>
      </c>
      <c r="D299" s="19">
        <v>2</v>
      </c>
      <c r="E299" s="23" t="s">
        <v>262</v>
      </c>
      <c r="F299" s="19" t="str">
        <f t="shared" si="1"/>
        <v>Small</v>
      </c>
      <c r="G299" s="19">
        <v>470000</v>
      </c>
      <c r="H299" s="19" t="str">
        <f>IF(' BENGALURU HOUSE PRICE'!$G299&lt;=500000,"Low",
IF(' BENGALURU HOUSE PRICE'!$G299&lt;=1000000,"Medium",
IF(' BENGALURU HOUSE PRICE'!$G299&lt;=3000000,"High","Luxury")))</f>
        <v>Low</v>
      </c>
    </row>
    <row r="300" spans="1:8" ht="15.75" customHeight="1" x14ac:dyDescent="0.25">
      <c r="A300" s="19" t="s">
        <v>323</v>
      </c>
      <c r="B300" s="19">
        <v>2000</v>
      </c>
      <c r="C300" s="19">
        <v>4</v>
      </c>
      <c r="D300" s="19">
        <v>0</v>
      </c>
      <c r="E300" s="23" t="s">
        <v>264</v>
      </c>
      <c r="F300" s="19" t="str">
        <f t="shared" si="1"/>
        <v>Medium</v>
      </c>
      <c r="G300" s="19">
        <v>1200000</v>
      </c>
      <c r="H300" s="19" t="str">
        <f>IF(' BENGALURU HOUSE PRICE'!$G300&lt;=500000,"Low",
IF(' BENGALURU HOUSE PRICE'!$G300&lt;=1000000,"Medium",
IF(' BENGALURU HOUSE PRICE'!$G300&lt;=3000000,"High","Luxury")))</f>
        <v>High</v>
      </c>
    </row>
    <row r="301" spans="1:8" ht="15.75" customHeight="1" x14ac:dyDescent="0.25">
      <c r="A301" s="19" t="s">
        <v>99</v>
      </c>
      <c r="B301" s="19">
        <v>880</v>
      </c>
      <c r="C301" s="19">
        <v>3</v>
      </c>
      <c r="D301" s="19">
        <v>1</v>
      </c>
      <c r="E301" s="23" t="s">
        <v>27</v>
      </c>
      <c r="F301" s="19" t="str">
        <f t="shared" si="1"/>
        <v>Small</v>
      </c>
      <c r="G301" s="19">
        <v>1400000</v>
      </c>
      <c r="H301" s="19" t="str">
        <f>IF(' BENGALURU HOUSE PRICE'!$G301&lt;=500000,"Low",
IF(' BENGALURU HOUSE PRICE'!$G301&lt;=1000000,"Medium",
IF(' BENGALURU HOUSE PRICE'!$G301&lt;=3000000,"High","Luxury")))</f>
        <v>High</v>
      </c>
    </row>
    <row r="302" spans="1:8" ht="15.75" customHeight="1" x14ac:dyDescent="0.25">
      <c r="A302" s="19" t="s">
        <v>22</v>
      </c>
      <c r="B302" s="19">
        <v>1863</v>
      </c>
      <c r="C302" s="19">
        <v>3</v>
      </c>
      <c r="D302" s="19">
        <v>2</v>
      </c>
      <c r="E302" s="23" t="s">
        <v>264</v>
      </c>
      <c r="F302" s="19" t="str">
        <f t="shared" si="1"/>
        <v>Medium</v>
      </c>
      <c r="G302" s="19">
        <v>1040000</v>
      </c>
      <c r="H302" s="19" t="str">
        <f>IF(' BENGALURU HOUSE PRICE'!$G302&lt;=500000,"Low",
IF(' BENGALURU HOUSE PRICE'!$G302&lt;=1000000,"Medium",
IF(' BENGALURU HOUSE PRICE'!$G302&lt;=3000000,"High","Luxury")))</f>
        <v>High</v>
      </c>
    </row>
    <row r="303" spans="1:8" ht="15.75" customHeight="1" x14ac:dyDescent="0.25">
      <c r="A303" s="19" t="s">
        <v>216</v>
      </c>
      <c r="B303" s="19">
        <v>1010</v>
      </c>
      <c r="C303" s="19">
        <v>2</v>
      </c>
      <c r="D303" s="19">
        <v>1</v>
      </c>
      <c r="E303" s="23" t="s">
        <v>262</v>
      </c>
      <c r="F303" s="19" t="str">
        <f t="shared" si="1"/>
        <v>Medium</v>
      </c>
      <c r="G303" s="19">
        <v>295000</v>
      </c>
      <c r="H303" s="19" t="str">
        <f>IF(' BENGALURU HOUSE PRICE'!$G303&lt;=500000,"Low",
IF(' BENGALURU HOUSE PRICE'!$G303&lt;=1000000,"Medium",
IF(' BENGALURU HOUSE PRICE'!$G303&lt;=3000000,"High","Luxury")))</f>
        <v>Low</v>
      </c>
    </row>
    <row r="304" spans="1:8" ht="15.75" customHeight="1" x14ac:dyDescent="0.25">
      <c r="A304" s="19" t="s">
        <v>139</v>
      </c>
      <c r="B304" s="19">
        <v>1425</v>
      </c>
      <c r="C304" s="19">
        <v>2</v>
      </c>
      <c r="D304" s="19">
        <v>1</v>
      </c>
      <c r="E304" s="23" t="s">
        <v>27</v>
      </c>
      <c r="F304" s="19" t="str">
        <f t="shared" si="1"/>
        <v>Medium</v>
      </c>
      <c r="G304" s="19">
        <v>700000</v>
      </c>
      <c r="H304" s="19" t="str">
        <f>IF(' BENGALURU HOUSE PRICE'!$G304&lt;=500000,"Low",
IF(' BENGALURU HOUSE PRICE'!$G304&lt;=1000000,"Medium",
IF(' BENGALURU HOUSE PRICE'!$G304&lt;=3000000,"High","Luxury")))</f>
        <v>Medium</v>
      </c>
    </row>
    <row r="305" spans="1:8" ht="15.75" customHeight="1" x14ac:dyDescent="0.25">
      <c r="A305" s="19" t="s">
        <v>245</v>
      </c>
      <c r="B305" s="19">
        <v>1450</v>
      </c>
      <c r="C305" s="19">
        <v>3</v>
      </c>
      <c r="D305" s="19">
        <v>0</v>
      </c>
      <c r="E305" s="23" t="s">
        <v>27</v>
      </c>
      <c r="F305" s="19" t="str">
        <f t="shared" si="1"/>
        <v>Medium</v>
      </c>
      <c r="G305" s="19">
        <v>1000000</v>
      </c>
      <c r="H305" s="19" t="str">
        <f>IF(' BENGALURU HOUSE PRICE'!$G305&lt;=500000,"Low",
IF(' BENGALURU HOUSE PRICE'!$G305&lt;=1000000,"Medium",
IF(' BENGALURU HOUSE PRICE'!$G305&lt;=3000000,"High","Luxury")))</f>
        <v>Medium</v>
      </c>
    </row>
    <row r="306" spans="1:8" ht="15.75" customHeight="1" x14ac:dyDescent="0.25">
      <c r="A306" s="19" t="s">
        <v>159</v>
      </c>
      <c r="B306" s="19">
        <v>1847</v>
      </c>
      <c r="C306" s="19">
        <v>3</v>
      </c>
      <c r="D306" s="19">
        <v>2</v>
      </c>
      <c r="E306" s="23" t="s">
        <v>27</v>
      </c>
      <c r="F306" s="19" t="str">
        <f t="shared" si="1"/>
        <v>Medium</v>
      </c>
      <c r="G306" s="19">
        <v>1050000</v>
      </c>
      <c r="H306" s="19" t="str">
        <f>IF(' BENGALURU HOUSE PRICE'!$G306&lt;=500000,"Low",
IF(' BENGALURU HOUSE PRICE'!$G306&lt;=1000000,"Medium",
IF(' BENGALURU HOUSE PRICE'!$G306&lt;=3000000,"High","Luxury")))</f>
        <v>High</v>
      </c>
    </row>
    <row r="307" spans="1:8" ht="15.75" customHeight="1" x14ac:dyDescent="0.25">
      <c r="A307" s="19" t="s">
        <v>34</v>
      </c>
      <c r="B307" s="19">
        <v>1100</v>
      </c>
      <c r="C307" s="19">
        <v>2</v>
      </c>
      <c r="D307" s="19">
        <v>3</v>
      </c>
      <c r="E307" s="23" t="s">
        <v>262</v>
      </c>
      <c r="F307" s="19" t="str">
        <f t="shared" si="1"/>
        <v>Medium</v>
      </c>
      <c r="G307" s="19">
        <v>450000</v>
      </c>
      <c r="H307" s="19" t="str">
        <f>IF(' BENGALURU HOUSE PRICE'!$G307&lt;=500000,"Low",
IF(' BENGALURU HOUSE PRICE'!$G307&lt;=1000000,"Medium",
IF(' BENGALURU HOUSE PRICE'!$G307&lt;=3000000,"High","Luxury")))</f>
        <v>Low</v>
      </c>
    </row>
    <row r="308" spans="1:8" ht="15.75" customHeight="1" x14ac:dyDescent="0.25">
      <c r="A308" s="19" t="s">
        <v>19</v>
      </c>
      <c r="B308" s="19">
        <v>525</v>
      </c>
      <c r="C308" s="19">
        <v>1</v>
      </c>
      <c r="D308" s="19">
        <v>1</v>
      </c>
      <c r="E308" s="23" t="s">
        <v>267</v>
      </c>
      <c r="F308" s="19" t="str">
        <f t="shared" si="1"/>
        <v>Small</v>
      </c>
      <c r="G308" s="19">
        <v>260000</v>
      </c>
      <c r="H308" s="19" t="str">
        <f>IF(' BENGALURU HOUSE PRICE'!$G308&lt;=500000,"Low",
IF(' BENGALURU HOUSE PRICE'!$G308&lt;=1000000,"Medium",
IF(' BENGALURU HOUSE PRICE'!$G308&lt;=3000000,"High","Luxury")))</f>
        <v>Low</v>
      </c>
    </row>
    <row r="309" spans="1:8" ht="15.75" customHeight="1" x14ac:dyDescent="0.25">
      <c r="A309" s="19" t="s">
        <v>170</v>
      </c>
      <c r="B309" s="19">
        <v>1665</v>
      </c>
      <c r="C309" s="19">
        <v>3</v>
      </c>
      <c r="D309" s="19">
        <v>2</v>
      </c>
      <c r="E309" s="23" t="s">
        <v>27</v>
      </c>
      <c r="F309" s="19" t="str">
        <f t="shared" si="1"/>
        <v>Medium</v>
      </c>
      <c r="G309" s="19">
        <v>950000</v>
      </c>
      <c r="H309" s="19" t="str">
        <f>IF(' BENGALURU HOUSE PRICE'!$G309&lt;=500000,"Low",
IF(' BENGALURU HOUSE PRICE'!$G309&lt;=1000000,"Medium",
IF(' BENGALURU HOUSE PRICE'!$G309&lt;=3000000,"High","Luxury")))</f>
        <v>Medium</v>
      </c>
    </row>
    <row r="310" spans="1:8" ht="15.75" customHeight="1" x14ac:dyDescent="0.25">
      <c r="A310" s="19" t="s">
        <v>324</v>
      </c>
      <c r="B310" s="19">
        <v>1664</v>
      </c>
      <c r="C310" s="19">
        <v>4</v>
      </c>
      <c r="D310" s="19">
        <v>3</v>
      </c>
      <c r="E310" s="23" t="s">
        <v>264</v>
      </c>
      <c r="F310" s="19" t="str">
        <f t="shared" si="1"/>
        <v>Medium</v>
      </c>
      <c r="G310" s="19">
        <v>650000</v>
      </c>
      <c r="H310" s="19" t="str">
        <f>IF(' BENGALURU HOUSE PRICE'!$G310&lt;=500000,"Low",
IF(' BENGALURU HOUSE PRICE'!$G310&lt;=1000000,"Medium",
IF(' BENGALURU HOUSE PRICE'!$G310&lt;=3000000,"High","Luxury")))</f>
        <v>Medium</v>
      </c>
    </row>
    <row r="311" spans="1:8" ht="15.75" customHeight="1" x14ac:dyDescent="0.25">
      <c r="A311" s="19" t="s">
        <v>134</v>
      </c>
      <c r="B311" s="19">
        <v>1850</v>
      </c>
      <c r="C311" s="19">
        <v>3</v>
      </c>
      <c r="D311" s="19">
        <v>3</v>
      </c>
      <c r="E311" s="23" t="s">
        <v>27</v>
      </c>
      <c r="F311" s="19" t="str">
        <f t="shared" si="1"/>
        <v>Medium</v>
      </c>
      <c r="G311" s="19">
        <v>1500000</v>
      </c>
      <c r="H311" s="19" t="str">
        <f>IF(' BENGALURU HOUSE PRICE'!$G311&lt;=500000,"Low",
IF(' BENGALURU HOUSE PRICE'!$G311&lt;=1000000,"Medium",
IF(' BENGALURU HOUSE PRICE'!$G311&lt;=3000000,"High","Luxury")))</f>
        <v>High</v>
      </c>
    </row>
    <row r="312" spans="1:8" ht="15.75" customHeight="1" x14ac:dyDescent="0.25">
      <c r="A312" s="19" t="s">
        <v>192</v>
      </c>
      <c r="B312" s="19">
        <v>1438</v>
      </c>
      <c r="C312" s="19">
        <v>2</v>
      </c>
      <c r="D312" s="19">
        <v>3</v>
      </c>
      <c r="E312" s="23" t="s">
        <v>262</v>
      </c>
      <c r="F312" s="19" t="str">
        <f t="shared" si="1"/>
        <v>Medium</v>
      </c>
      <c r="G312" s="19">
        <v>1000000</v>
      </c>
      <c r="H312" s="19" t="str">
        <f>IF(' BENGALURU HOUSE PRICE'!$G312&lt;=500000,"Low",
IF(' BENGALURU HOUSE PRICE'!$G312&lt;=1000000,"Medium",
IF(' BENGALURU HOUSE PRICE'!$G312&lt;=3000000,"High","Luxury")))</f>
        <v>Medium</v>
      </c>
    </row>
    <row r="313" spans="1:8" ht="15.75" customHeight="1" x14ac:dyDescent="0.25">
      <c r="A313" s="19" t="s">
        <v>222</v>
      </c>
      <c r="B313" s="19">
        <v>1560</v>
      </c>
      <c r="C313" s="19">
        <v>3</v>
      </c>
      <c r="D313" s="19">
        <v>3</v>
      </c>
      <c r="E313" s="23" t="s">
        <v>27</v>
      </c>
      <c r="F313" s="19" t="str">
        <f t="shared" si="1"/>
        <v>Medium</v>
      </c>
      <c r="G313" s="19">
        <v>1150000</v>
      </c>
      <c r="H313" s="19" t="str">
        <f>IF(' BENGALURU HOUSE PRICE'!$G313&lt;=500000,"Low",
IF(' BENGALURU HOUSE PRICE'!$G313&lt;=1000000,"Medium",
IF(' BENGALURU HOUSE PRICE'!$G313&lt;=3000000,"High","Luxury")))</f>
        <v>High</v>
      </c>
    </row>
    <row r="314" spans="1:8" ht="15.75" customHeight="1" x14ac:dyDescent="0.25">
      <c r="A314" s="19" t="s">
        <v>26</v>
      </c>
      <c r="B314" s="19">
        <v>1350</v>
      </c>
      <c r="C314" s="19">
        <v>2</v>
      </c>
      <c r="D314" s="19">
        <v>1</v>
      </c>
      <c r="E314" s="23" t="s">
        <v>262</v>
      </c>
      <c r="F314" s="19" t="str">
        <f t="shared" si="1"/>
        <v>Medium</v>
      </c>
      <c r="G314" s="19">
        <v>555500</v>
      </c>
      <c r="H314" s="19" t="str">
        <f>IF(' BENGALURU HOUSE PRICE'!$G314&lt;=500000,"Low",
IF(' BENGALURU HOUSE PRICE'!$G314&lt;=1000000,"Medium",
IF(' BENGALURU HOUSE PRICE'!$G314&lt;=3000000,"High","Luxury")))</f>
        <v>Medium</v>
      </c>
    </row>
    <row r="315" spans="1:8" ht="15.75" customHeight="1" x14ac:dyDescent="0.25">
      <c r="A315" s="19" t="s">
        <v>19</v>
      </c>
      <c r="B315" s="19">
        <v>1550</v>
      </c>
      <c r="C315" s="19">
        <v>3</v>
      </c>
      <c r="D315" s="19">
        <v>3</v>
      </c>
      <c r="E315" s="23" t="s">
        <v>27</v>
      </c>
      <c r="F315" s="19" t="str">
        <f t="shared" si="1"/>
        <v>Medium</v>
      </c>
      <c r="G315" s="19">
        <v>670000</v>
      </c>
      <c r="H315" s="19" t="str">
        <f>IF(' BENGALURU HOUSE PRICE'!$G315&lt;=500000,"Low",
IF(' BENGALURU HOUSE PRICE'!$G315&lt;=1000000,"Medium",
IF(' BENGALURU HOUSE PRICE'!$G315&lt;=3000000,"High","Luxury")))</f>
        <v>Medium</v>
      </c>
    </row>
    <row r="316" spans="1:8" ht="15.75" customHeight="1" x14ac:dyDescent="0.25">
      <c r="A316" s="19" t="s">
        <v>325</v>
      </c>
      <c r="B316" s="19">
        <v>1140</v>
      </c>
      <c r="C316" s="19">
        <v>2</v>
      </c>
      <c r="D316" s="19">
        <v>2</v>
      </c>
      <c r="E316" s="23" t="s">
        <v>262</v>
      </c>
      <c r="F316" s="19" t="str">
        <f t="shared" si="1"/>
        <v>Medium</v>
      </c>
      <c r="G316" s="19">
        <v>465000</v>
      </c>
      <c r="H316" s="19" t="str">
        <f>IF(' BENGALURU HOUSE PRICE'!$G316&lt;=500000,"Low",
IF(' BENGALURU HOUSE PRICE'!$G316&lt;=1000000,"Medium",
IF(' BENGALURU HOUSE PRICE'!$G316&lt;=3000000,"High","Luxury")))</f>
        <v>Low</v>
      </c>
    </row>
    <row r="317" spans="1:8" ht="15.75" customHeight="1" x14ac:dyDescent="0.25">
      <c r="A317" s="19" t="s">
        <v>320</v>
      </c>
      <c r="B317" s="19">
        <v>1200</v>
      </c>
      <c r="C317" s="19">
        <v>5</v>
      </c>
      <c r="D317" s="19">
        <v>2</v>
      </c>
      <c r="E317" s="23" t="s">
        <v>292</v>
      </c>
      <c r="F317" s="19" t="str">
        <f t="shared" si="1"/>
        <v>Medium</v>
      </c>
      <c r="G317" s="19">
        <v>1800000</v>
      </c>
      <c r="H317" s="19" t="str">
        <f>IF(' BENGALURU HOUSE PRICE'!$G317&lt;=500000,"Low",
IF(' BENGALURU HOUSE PRICE'!$G317&lt;=1000000,"Medium",
IF(' BENGALURU HOUSE PRICE'!$G317&lt;=3000000,"High","Luxury")))</f>
        <v>High</v>
      </c>
    </row>
    <row r="318" spans="1:8" ht="15.75" customHeight="1" x14ac:dyDescent="0.25">
      <c r="A318" s="19" t="s">
        <v>326</v>
      </c>
      <c r="B318" s="19">
        <v>850</v>
      </c>
      <c r="C318" s="19">
        <v>2</v>
      </c>
      <c r="D318" s="19">
        <v>2</v>
      </c>
      <c r="E318" s="23" t="s">
        <v>262</v>
      </c>
      <c r="F318" s="19" t="str">
        <f t="shared" si="1"/>
        <v>Small</v>
      </c>
      <c r="G318" s="19">
        <v>270000</v>
      </c>
      <c r="H318" s="19" t="str">
        <f>IF(' BENGALURU HOUSE PRICE'!$G318&lt;=500000,"Low",
IF(' BENGALURU HOUSE PRICE'!$G318&lt;=1000000,"Medium",
IF(' BENGALURU HOUSE PRICE'!$G318&lt;=3000000,"High","Luxury")))</f>
        <v>Low</v>
      </c>
    </row>
    <row r="319" spans="1:8" ht="15.75" customHeight="1" x14ac:dyDescent="0.25">
      <c r="A319" s="19" t="s">
        <v>25</v>
      </c>
      <c r="B319" s="19">
        <v>1280</v>
      </c>
      <c r="C319" s="19">
        <v>2</v>
      </c>
      <c r="D319" s="19">
        <v>2</v>
      </c>
      <c r="E319" s="23" t="s">
        <v>262</v>
      </c>
      <c r="F319" s="19" t="str">
        <f t="shared" si="1"/>
        <v>Medium</v>
      </c>
      <c r="G319" s="19">
        <v>750000</v>
      </c>
      <c r="H319" s="19" t="str">
        <f>IF(' BENGALURU HOUSE PRICE'!$G319&lt;=500000,"Low",
IF(' BENGALURU HOUSE PRICE'!$G319&lt;=1000000,"Medium",
IF(' BENGALURU HOUSE PRICE'!$G319&lt;=3000000,"High","Luxury")))</f>
        <v>Medium</v>
      </c>
    </row>
    <row r="320" spans="1:8" ht="15.75" customHeight="1" x14ac:dyDescent="0.25">
      <c r="A320" s="19" t="s">
        <v>327</v>
      </c>
      <c r="B320" s="19">
        <v>1170</v>
      </c>
      <c r="C320" s="19">
        <v>2</v>
      </c>
      <c r="D320" s="19">
        <v>2</v>
      </c>
      <c r="E320" s="23" t="s">
        <v>262</v>
      </c>
      <c r="F320" s="19" t="str">
        <f t="shared" si="1"/>
        <v>Medium</v>
      </c>
      <c r="G320" s="19">
        <v>520000</v>
      </c>
      <c r="H320" s="19" t="str">
        <f>IF(' BENGALURU HOUSE PRICE'!$G320&lt;=500000,"Low",
IF(' BENGALURU HOUSE PRICE'!$G320&lt;=1000000,"Medium",
IF(' BENGALURU HOUSE PRICE'!$G320&lt;=3000000,"High","Luxury")))</f>
        <v>Medium</v>
      </c>
    </row>
    <row r="321" spans="1:8" ht="15.75" customHeight="1" x14ac:dyDescent="0.25">
      <c r="A321" s="19" t="s">
        <v>328</v>
      </c>
      <c r="B321" s="19">
        <v>1113</v>
      </c>
      <c r="C321" s="19">
        <v>2</v>
      </c>
      <c r="D321" s="19">
        <v>1</v>
      </c>
      <c r="E321" s="23" t="s">
        <v>262</v>
      </c>
      <c r="F321" s="19" t="str">
        <f t="shared" si="1"/>
        <v>Medium</v>
      </c>
      <c r="G321" s="19">
        <v>510000</v>
      </c>
      <c r="H321" s="19" t="str">
        <f>IF(' BENGALURU HOUSE PRICE'!$G321&lt;=500000,"Low",
IF(' BENGALURU HOUSE PRICE'!$G321&lt;=1000000,"Medium",
IF(' BENGALURU HOUSE PRICE'!$G321&lt;=3000000,"High","Luxury")))</f>
        <v>Medium</v>
      </c>
    </row>
    <row r="322" spans="1:8" ht="15.75" customHeight="1" x14ac:dyDescent="0.25">
      <c r="A322" s="19" t="s">
        <v>111</v>
      </c>
      <c r="B322" s="19">
        <v>1385</v>
      </c>
      <c r="C322" s="19">
        <v>2</v>
      </c>
      <c r="D322" s="19">
        <v>1</v>
      </c>
      <c r="E322" s="23" t="s">
        <v>262</v>
      </c>
      <c r="F322" s="19" t="str">
        <f t="shared" si="1"/>
        <v>Medium</v>
      </c>
      <c r="G322" s="19">
        <v>830900</v>
      </c>
      <c r="H322" s="19" t="str">
        <f>IF(' BENGALURU HOUSE PRICE'!$G322&lt;=500000,"Low",
IF(' BENGALURU HOUSE PRICE'!$G322&lt;=1000000,"Medium",
IF(' BENGALURU HOUSE PRICE'!$G322&lt;=3000000,"High","Luxury")))</f>
        <v>Medium</v>
      </c>
    </row>
    <row r="323" spans="1:8" ht="15.75" customHeight="1" x14ac:dyDescent="0.25">
      <c r="A323" s="19" t="s">
        <v>16</v>
      </c>
      <c r="B323" s="19">
        <v>1128</v>
      </c>
      <c r="C323" s="19">
        <v>2</v>
      </c>
      <c r="D323" s="19">
        <v>1</v>
      </c>
      <c r="E323" s="23" t="s">
        <v>262</v>
      </c>
      <c r="F323" s="19" t="str">
        <f t="shared" si="1"/>
        <v>Medium</v>
      </c>
      <c r="G323" s="19">
        <v>650000</v>
      </c>
      <c r="H323" s="19" t="str">
        <f>IF(' BENGALURU HOUSE PRICE'!$G323&lt;=500000,"Low",
IF(' BENGALURU HOUSE PRICE'!$G323&lt;=1000000,"Medium",
IF(' BENGALURU HOUSE PRICE'!$G323&lt;=3000000,"High","Luxury")))</f>
        <v>Medium</v>
      </c>
    </row>
    <row r="324" spans="1:8" ht="15.75" customHeight="1" x14ac:dyDescent="0.25">
      <c r="A324" s="19" t="s">
        <v>20</v>
      </c>
      <c r="B324" s="19">
        <v>1200</v>
      </c>
      <c r="C324" s="19">
        <v>2</v>
      </c>
      <c r="D324" s="19">
        <v>2</v>
      </c>
      <c r="E324" s="23" t="s">
        <v>262</v>
      </c>
      <c r="F324" s="19" t="str">
        <f t="shared" si="1"/>
        <v>Medium</v>
      </c>
      <c r="G324" s="19">
        <v>1280000</v>
      </c>
      <c r="H324" s="19" t="str">
        <f>IF(' BENGALURU HOUSE PRICE'!$G324&lt;=500000,"Low",
IF(' BENGALURU HOUSE PRICE'!$G324&lt;=1000000,"Medium",
IF(' BENGALURU HOUSE PRICE'!$G324&lt;=3000000,"High","Luxury")))</f>
        <v>High</v>
      </c>
    </row>
    <row r="325" spans="1:8" ht="15.75" customHeight="1" x14ac:dyDescent="0.25">
      <c r="A325" s="19" t="s">
        <v>329</v>
      </c>
      <c r="B325" s="19">
        <v>1200</v>
      </c>
      <c r="C325" s="19">
        <v>4</v>
      </c>
      <c r="D325" s="19">
        <v>3</v>
      </c>
      <c r="E325" s="23" t="s">
        <v>264</v>
      </c>
      <c r="F325" s="19" t="str">
        <f t="shared" si="1"/>
        <v>Medium</v>
      </c>
      <c r="G325" s="19">
        <v>1650000</v>
      </c>
      <c r="H325" s="19" t="str">
        <f>IF(' BENGALURU HOUSE PRICE'!$G325&lt;=500000,"Low",
IF(' BENGALURU HOUSE PRICE'!$G325&lt;=1000000,"Medium",
IF(' BENGALURU HOUSE PRICE'!$G325&lt;=3000000,"High","Luxury")))</f>
        <v>High</v>
      </c>
    </row>
    <row r="326" spans="1:8" ht="15.75" customHeight="1" x14ac:dyDescent="0.25">
      <c r="A326" s="19" t="s">
        <v>197</v>
      </c>
      <c r="B326" s="19">
        <v>2390</v>
      </c>
      <c r="C326" s="19">
        <v>3</v>
      </c>
      <c r="D326" s="19">
        <v>2</v>
      </c>
      <c r="E326" s="23" t="s">
        <v>27</v>
      </c>
      <c r="F326" s="19" t="str">
        <f t="shared" si="1"/>
        <v>Large</v>
      </c>
      <c r="G326" s="19">
        <v>4150000</v>
      </c>
      <c r="H326" s="19" t="str">
        <f>IF(' BENGALURU HOUSE PRICE'!$G326&lt;=500000,"Low",
IF(' BENGALURU HOUSE PRICE'!$G326&lt;=1000000,"Medium",
IF(' BENGALURU HOUSE PRICE'!$G326&lt;=3000000,"High","Luxury")))</f>
        <v>Luxury</v>
      </c>
    </row>
    <row r="327" spans="1:8" ht="15.75" customHeight="1" x14ac:dyDescent="0.25">
      <c r="A327" s="19" t="s">
        <v>99</v>
      </c>
      <c r="B327" s="19">
        <v>2400</v>
      </c>
      <c r="C327" s="19">
        <v>4</v>
      </c>
      <c r="D327" s="19">
        <v>1</v>
      </c>
      <c r="E327" s="23" t="s">
        <v>264</v>
      </c>
      <c r="F327" s="19" t="str">
        <f t="shared" si="1"/>
        <v>Large</v>
      </c>
      <c r="G327" s="19">
        <v>4000000</v>
      </c>
      <c r="H327" s="19" t="str">
        <f>IF(' BENGALURU HOUSE PRICE'!$G327&lt;=500000,"Low",
IF(' BENGALURU HOUSE PRICE'!$G327&lt;=1000000,"Medium",
IF(' BENGALURU HOUSE PRICE'!$G327&lt;=3000000,"High","Luxury")))</f>
        <v>Luxury</v>
      </c>
    </row>
    <row r="328" spans="1:8" ht="15.75" customHeight="1" x14ac:dyDescent="0.25">
      <c r="A328" s="19" t="s">
        <v>17</v>
      </c>
      <c r="B328" s="19">
        <v>1464</v>
      </c>
      <c r="C328" s="19">
        <v>3</v>
      </c>
      <c r="D328" s="19">
        <v>2</v>
      </c>
      <c r="E328" s="23" t="s">
        <v>27</v>
      </c>
      <c r="F328" s="19" t="str">
        <f t="shared" si="1"/>
        <v>Medium</v>
      </c>
      <c r="G328" s="19">
        <v>560000</v>
      </c>
      <c r="H328" s="19" t="str">
        <f>IF(' BENGALURU HOUSE PRICE'!$G328&lt;=500000,"Low",
IF(' BENGALURU HOUSE PRICE'!$G328&lt;=1000000,"Medium",
IF(' BENGALURU HOUSE PRICE'!$G328&lt;=3000000,"High","Luxury")))</f>
        <v>Medium</v>
      </c>
    </row>
    <row r="329" spans="1:8" ht="15.75" customHeight="1" x14ac:dyDescent="0.25">
      <c r="A329" s="19" t="s">
        <v>172</v>
      </c>
      <c r="B329" s="19">
        <v>1200</v>
      </c>
      <c r="C329" s="19">
        <v>2</v>
      </c>
      <c r="D329" s="19">
        <v>2</v>
      </c>
      <c r="E329" s="23" t="s">
        <v>262</v>
      </c>
      <c r="F329" s="19" t="str">
        <f t="shared" si="1"/>
        <v>Medium</v>
      </c>
      <c r="G329" s="19">
        <v>550000</v>
      </c>
      <c r="H329" s="19" t="str">
        <f>IF(' BENGALURU HOUSE PRICE'!$G329&lt;=500000,"Low",
IF(' BENGALURU HOUSE PRICE'!$G329&lt;=1000000,"Medium",
IF(' BENGALURU HOUSE PRICE'!$G329&lt;=3000000,"High","Luxury")))</f>
        <v>Medium</v>
      </c>
    </row>
    <row r="330" spans="1:8" ht="15.75" customHeight="1" x14ac:dyDescent="0.25">
      <c r="A330" s="19" t="s">
        <v>278</v>
      </c>
      <c r="B330" s="19">
        <v>1200</v>
      </c>
      <c r="C330" s="19">
        <v>2</v>
      </c>
      <c r="D330" s="19">
        <v>2</v>
      </c>
      <c r="E330" s="23" t="s">
        <v>262</v>
      </c>
      <c r="F330" s="19" t="str">
        <f t="shared" si="1"/>
        <v>Medium</v>
      </c>
      <c r="G330" s="19">
        <v>520000</v>
      </c>
      <c r="H330" s="19" t="str">
        <f>IF(' BENGALURU HOUSE PRICE'!$G330&lt;=500000,"Low",
IF(' BENGALURU HOUSE PRICE'!$G330&lt;=1000000,"Medium",
IF(' BENGALURU HOUSE PRICE'!$G330&lt;=3000000,"High","Luxury")))</f>
        <v>Medium</v>
      </c>
    </row>
    <row r="331" spans="1:8" ht="15.75" customHeight="1" x14ac:dyDescent="0.25">
      <c r="A331" s="19" t="s">
        <v>138</v>
      </c>
      <c r="B331" s="19">
        <v>1150</v>
      </c>
      <c r="C331" s="19">
        <v>2</v>
      </c>
      <c r="D331" s="19">
        <v>1</v>
      </c>
      <c r="E331" s="23" t="s">
        <v>27</v>
      </c>
      <c r="F331" s="19" t="str">
        <f t="shared" si="1"/>
        <v>Medium</v>
      </c>
      <c r="G331" s="19">
        <v>550000</v>
      </c>
      <c r="H331" s="19" t="str">
        <f>IF(' BENGALURU HOUSE PRICE'!$G331&lt;=500000,"Low",
IF(' BENGALURU HOUSE PRICE'!$G331&lt;=1000000,"Medium",
IF(' BENGALURU HOUSE PRICE'!$G331&lt;=3000000,"High","Luxury")))</f>
        <v>Medium</v>
      </c>
    </row>
    <row r="332" spans="1:8" ht="15.75" customHeight="1" x14ac:dyDescent="0.25">
      <c r="A332" s="19" t="s">
        <v>55</v>
      </c>
      <c r="B332" s="19">
        <v>1645</v>
      </c>
      <c r="C332" s="19">
        <v>3</v>
      </c>
      <c r="D332" s="19">
        <v>2</v>
      </c>
      <c r="E332" s="23" t="s">
        <v>27</v>
      </c>
      <c r="F332" s="19" t="str">
        <f t="shared" si="1"/>
        <v>Medium</v>
      </c>
      <c r="G332" s="19">
        <v>950000</v>
      </c>
      <c r="H332" s="19" t="str">
        <f>IF(' BENGALURU HOUSE PRICE'!$G332&lt;=500000,"Low",
IF(' BENGALURU HOUSE PRICE'!$G332&lt;=1000000,"Medium",
IF(' BENGALURU HOUSE PRICE'!$G332&lt;=3000000,"High","Luxury")))</f>
        <v>Medium</v>
      </c>
    </row>
    <row r="333" spans="1:8" ht="15.75" customHeight="1" x14ac:dyDescent="0.25">
      <c r="A333" s="19" t="s">
        <v>22</v>
      </c>
      <c r="B333" s="19">
        <v>1000</v>
      </c>
      <c r="C333" s="19">
        <v>2</v>
      </c>
      <c r="D333" s="19">
        <v>1</v>
      </c>
      <c r="E333" s="23" t="s">
        <v>262</v>
      </c>
      <c r="F333" s="19" t="str">
        <f t="shared" si="1"/>
        <v>Small</v>
      </c>
      <c r="G333" s="19">
        <v>670000</v>
      </c>
      <c r="H333" s="19" t="str">
        <f>IF(' BENGALURU HOUSE PRICE'!$G333&lt;=500000,"Low",
IF(' BENGALURU HOUSE PRICE'!$G333&lt;=1000000,"Medium",
IF(' BENGALURU HOUSE PRICE'!$G333&lt;=3000000,"High","Luxury")))</f>
        <v>Medium</v>
      </c>
    </row>
    <row r="334" spans="1:8" ht="15.75" customHeight="1" x14ac:dyDescent="0.25">
      <c r="A334" s="19" t="s">
        <v>17</v>
      </c>
      <c r="B334" s="19">
        <v>2650</v>
      </c>
      <c r="C334" s="19">
        <v>4</v>
      </c>
      <c r="D334" s="19">
        <v>2</v>
      </c>
      <c r="E334" s="23" t="s">
        <v>264</v>
      </c>
      <c r="F334" s="19" t="str">
        <f t="shared" si="1"/>
        <v>Large</v>
      </c>
      <c r="G334" s="19">
        <v>1980000</v>
      </c>
      <c r="H334" s="19" t="str">
        <f>IF(' BENGALURU HOUSE PRICE'!$G334&lt;=500000,"Low",
IF(' BENGALURU HOUSE PRICE'!$G334&lt;=1000000,"Medium",
IF(' BENGALURU HOUSE PRICE'!$G334&lt;=3000000,"High","Luxury")))</f>
        <v>High</v>
      </c>
    </row>
    <row r="335" spans="1:8" ht="15.75" customHeight="1" x14ac:dyDescent="0.25">
      <c r="A335" s="19" t="s">
        <v>330</v>
      </c>
      <c r="B335" s="19">
        <v>1192</v>
      </c>
      <c r="C335" s="19">
        <v>2</v>
      </c>
      <c r="D335" s="19">
        <v>2</v>
      </c>
      <c r="E335" s="23" t="s">
        <v>262</v>
      </c>
      <c r="F335" s="19" t="str">
        <f t="shared" si="1"/>
        <v>Medium</v>
      </c>
      <c r="G335" s="19">
        <v>740000</v>
      </c>
      <c r="H335" s="19" t="str">
        <f>IF(' BENGALURU HOUSE PRICE'!$G335&lt;=500000,"Low",
IF(' BENGALURU HOUSE PRICE'!$G335&lt;=1000000,"Medium",
IF(' BENGALURU HOUSE PRICE'!$G335&lt;=3000000,"High","Luxury")))</f>
        <v>Medium</v>
      </c>
    </row>
    <row r="336" spans="1:8" ht="15.75" customHeight="1" x14ac:dyDescent="0.25">
      <c r="A336" s="19" t="s">
        <v>237</v>
      </c>
      <c r="B336" s="19">
        <v>2135</v>
      </c>
      <c r="C336" s="19">
        <v>3</v>
      </c>
      <c r="D336" s="19">
        <v>2</v>
      </c>
      <c r="E336" s="23" t="s">
        <v>27</v>
      </c>
      <c r="F336" s="19" t="str">
        <f t="shared" si="1"/>
        <v>Large</v>
      </c>
      <c r="G336" s="19">
        <v>2150000</v>
      </c>
      <c r="H336" s="19" t="str">
        <f>IF(' BENGALURU HOUSE PRICE'!$G336&lt;=500000,"Low",
IF(' BENGALURU HOUSE PRICE'!$G336&lt;=1000000,"Medium",
IF(' BENGALURU HOUSE PRICE'!$G336&lt;=3000000,"High","Luxury")))</f>
        <v>High</v>
      </c>
    </row>
    <row r="337" spans="1:8" ht="15.75" customHeight="1" x14ac:dyDescent="0.25">
      <c r="A337" s="19" t="s">
        <v>25</v>
      </c>
      <c r="B337" s="19">
        <v>1173</v>
      </c>
      <c r="C337" s="19">
        <v>2</v>
      </c>
      <c r="D337" s="19">
        <v>1</v>
      </c>
      <c r="E337" s="23" t="s">
        <v>262</v>
      </c>
      <c r="F337" s="19" t="str">
        <f t="shared" si="1"/>
        <v>Medium</v>
      </c>
      <c r="G337" s="19">
        <v>580000</v>
      </c>
      <c r="H337" s="19" t="str">
        <f>IF(' BENGALURU HOUSE PRICE'!$G337&lt;=500000,"Low",
IF(' BENGALURU HOUSE PRICE'!$G337&lt;=1000000,"Medium",
IF(' BENGALURU HOUSE PRICE'!$G337&lt;=3000000,"High","Luxury")))</f>
        <v>Medium</v>
      </c>
    </row>
    <row r="338" spans="1:8" ht="15.75" customHeight="1" x14ac:dyDescent="0.25">
      <c r="A338" s="19" t="s">
        <v>24</v>
      </c>
      <c r="B338" s="19">
        <v>1020</v>
      </c>
      <c r="C338" s="19">
        <v>2</v>
      </c>
      <c r="D338" s="19">
        <v>2</v>
      </c>
      <c r="E338" s="23" t="s">
        <v>262</v>
      </c>
      <c r="F338" s="19" t="str">
        <f t="shared" si="1"/>
        <v>Medium</v>
      </c>
      <c r="G338" s="19">
        <v>450000</v>
      </c>
      <c r="H338" s="19" t="str">
        <f>IF(' BENGALURU HOUSE PRICE'!$G338&lt;=500000,"Low",
IF(' BENGALURU HOUSE PRICE'!$G338&lt;=1000000,"Medium",
IF(' BENGALURU HOUSE PRICE'!$G338&lt;=3000000,"High","Luxury")))</f>
        <v>Low</v>
      </c>
    </row>
    <row r="339" spans="1:8" ht="15.75" customHeight="1" x14ac:dyDescent="0.25">
      <c r="A339" s="19" t="s">
        <v>233</v>
      </c>
      <c r="B339" s="19">
        <v>3122</v>
      </c>
      <c r="C339" s="19">
        <v>6</v>
      </c>
      <c r="D339" s="19">
        <v>2</v>
      </c>
      <c r="E339" s="23" t="s">
        <v>264</v>
      </c>
      <c r="F339" s="19" t="str">
        <f t="shared" si="1"/>
        <v>Large</v>
      </c>
      <c r="G339" s="19">
        <v>2300000</v>
      </c>
      <c r="H339" s="19" t="str">
        <f>IF(' BENGALURU HOUSE PRICE'!$G339&lt;=500000,"Low",
IF(' BENGALURU HOUSE PRICE'!$G339&lt;=1000000,"Medium",
IF(' BENGALURU HOUSE PRICE'!$G339&lt;=3000000,"High","Luxury")))</f>
        <v>High</v>
      </c>
    </row>
    <row r="340" spans="1:8" ht="15.75" customHeight="1" x14ac:dyDescent="0.25">
      <c r="A340" s="19" t="s">
        <v>218</v>
      </c>
      <c r="B340" s="19">
        <v>1600</v>
      </c>
      <c r="C340" s="19">
        <v>3</v>
      </c>
      <c r="D340" s="19">
        <v>3</v>
      </c>
      <c r="E340" s="23" t="s">
        <v>27</v>
      </c>
      <c r="F340" s="19" t="str">
        <f t="shared" si="1"/>
        <v>Medium</v>
      </c>
      <c r="G340" s="19">
        <v>640000</v>
      </c>
      <c r="H340" s="19" t="str">
        <f>IF(' BENGALURU HOUSE PRICE'!$G340&lt;=500000,"Low",
IF(' BENGALURU HOUSE PRICE'!$G340&lt;=1000000,"Medium",
IF(' BENGALURU HOUSE PRICE'!$G340&lt;=3000000,"High","Luxury")))</f>
        <v>Medium</v>
      </c>
    </row>
    <row r="341" spans="1:8" ht="15.75" customHeight="1" x14ac:dyDescent="0.25">
      <c r="A341" s="19" t="s">
        <v>331</v>
      </c>
      <c r="B341" s="19">
        <v>1200</v>
      </c>
      <c r="C341" s="19">
        <v>2</v>
      </c>
      <c r="D341" s="19">
        <v>0</v>
      </c>
      <c r="E341" s="23" t="s">
        <v>262</v>
      </c>
      <c r="F341" s="19" t="str">
        <f t="shared" si="1"/>
        <v>Medium</v>
      </c>
      <c r="G341" s="19">
        <v>790000</v>
      </c>
      <c r="H341" s="19" t="str">
        <f>IF(' BENGALURU HOUSE PRICE'!$G341&lt;=500000,"Low",
IF(' BENGALURU HOUSE PRICE'!$G341&lt;=1000000,"Medium",
IF(' BENGALURU HOUSE PRICE'!$G341&lt;=3000000,"High","Luxury")))</f>
        <v>Medium</v>
      </c>
    </row>
    <row r="342" spans="1:8" ht="15.75" customHeight="1" x14ac:dyDescent="0.25">
      <c r="A342" s="19" t="s">
        <v>332</v>
      </c>
      <c r="B342" s="19">
        <v>1230</v>
      </c>
      <c r="C342" s="19">
        <v>2</v>
      </c>
      <c r="D342" s="19">
        <v>3</v>
      </c>
      <c r="E342" s="23" t="s">
        <v>262</v>
      </c>
      <c r="F342" s="19" t="str">
        <f t="shared" si="1"/>
        <v>Medium</v>
      </c>
      <c r="G342" s="19">
        <v>480000</v>
      </c>
      <c r="H342" s="19" t="str">
        <f>IF(' BENGALURU HOUSE PRICE'!$G342&lt;=500000,"Low",
IF(' BENGALURU HOUSE PRICE'!$G342&lt;=1000000,"Medium",
IF(' BENGALURU HOUSE PRICE'!$G342&lt;=3000000,"High","Luxury")))</f>
        <v>Low</v>
      </c>
    </row>
    <row r="343" spans="1:8" ht="15.75" customHeight="1" x14ac:dyDescent="0.25">
      <c r="A343" s="19" t="s">
        <v>87</v>
      </c>
      <c r="B343" s="19">
        <v>1250</v>
      </c>
      <c r="C343" s="19">
        <v>2</v>
      </c>
      <c r="D343" s="19">
        <v>2</v>
      </c>
      <c r="E343" s="23" t="s">
        <v>262</v>
      </c>
      <c r="F343" s="19" t="str">
        <f t="shared" si="1"/>
        <v>Medium</v>
      </c>
      <c r="G343" s="19">
        <v>400000</v>
      </c>
      <c r="H343" s="19" t="str">
        <f>IF(' BENGALURU HOUSE PRICE'!$G343&lt;=500000,"Low",
IF(' BENGALURU HOUSE PRICE'!$G343&lt;=1000000,"Medium",
IF(' BENGALURU HOUSE PRICE'!$G343&lt;=3000000,"High","Luxury")))</f>
        <v>Low</v>
      </c>
    </row>
    <row r="344" spans="1:8" ht="15.75" customHeight="1" x14ac:dyDescent="0.25">
      <c r="A344" s="19" t="s">
        <v>139</v>
      </c>
      <c r="B344" s="19">
        <v>1325</v>
      </c>
      <c r="C344" s="19">
        <v>2</v>
      </c>
      <c r="D344" s="19">
        <v>2</v>
      </c>
      <c r="E344" s="23" t="s">
        <v>262</v>
      </c>
      <c r="F344" s="19" t="str">
        <f t="shared" si="1"/>
        <v>Medium</v>
      </c>
      <c r="G344" s="19">
        <v>760000</v>
      </c>
      <c r="H344" s="19" t="str">
        <f>IF(' BENGALURU HOUSE PRICE'!$G344&lt;=500000,"Low",
IF(' BENGALURU HOUSE PRICE'!$G344&lt;=1000000,"Medium",
IF(' BENGALURU HOUSE PRICE'!$G344&lt;=3000000,"High","Luxury")))</f>
        <v>Medium</v>
      </c>
    </row>
    <row r="345" spans="1:8" ht="15.75" customHeight="1" x14ac:dyDescent="0.25">
      <c r="A345" s="19" t="s">
        <v>15</v>
      </c>
      <c r="B345" s="19">
        <v>1850</v>
      </c>
      <c r="C345" s="19">
        <v>3</v>
      </c>
      <c r="D345" s="19">
        <v>1</v>
      </c>
      <c r="E345" s="23" t="s">
        <v>27</v>
      </c>
      <c r="F345" s="19" t="str">
        <f t="shared" si="1"/>
        <v>Medium</v>
      </c>
      <c r="G345" s="19">
        <v>1500000</v>
      </c>
      <c r="H345" s="19" t="str">
        <f>IF(' BENGALURU HOUSE PRICE'!$G345&lt;=500000,"Low",
IF(' BENGALURU HOUSE PRICE'!$G345&lt;=1000000,"Medium",
IF(' BENGALURU HOUSE PRICE'!$G345&lt;=3000000,"High","Luxury")))</f>
        <v>High</v>
      </c>
    </row>
    <row r="346" spans="1:8" ht="15.75" customHeight="1" x14ac:dyDescent="0.25">
      <c r="A346" s="19" t="s">
        <v>19</v>
      </c>
      <c r="B346" s="19">
        <v>525</v>
      </c>
      <c r="C346" s="19">
        <v>2</v>
      </c>
      <c r="D346" s="19">
        <v>2</v>
      </c>
      <c r="E346" s="23" t="s">
        <v>267</v>
      </c>
      <c r="F346" s="19" t="str">
        <f t="shared" si="1"/>
        <v>Small</v>
      </c>
      <c r="G346" s="19">
        <v>215300</v>
      </c>
      <c r="H346" s="19" t="str">
        <f>IF(' BENGALURU HOUSE PRICE'!$G346&lt;=500000,"Low",
IF(' BENGALURU HOUSE PRICE'!$G346&lt;=1000000,"Medium",
IF(' BENGALURU HOUSE PRICE'!$G346&lt;=3000000,"High","Luxury")))</f>
        <v>Low</v>
      </c>
    </row>
    <row r="347" spans="1:8" ht="15.75" customHeight="1" x14ac:dyDescent="0.25">
      <c r="A347" s="19" t="s">
        <v>56</v>
      </c>
      <c r="B347" s="19">
        <v>1200</v>
      </c>
      <c r="C347" s="19">
        <v>2</v>
      </c>
      <c r="D347" s="19">
        <v>2</v>
      </c>
      <c r="E347" s="23" t="s">
        <v>262</v>
      </c>
      <c r="F347" s="19" t="str">
        <f t="shared" si="1"/>
        <v>Medium</v>
      </c>
      <c r="G347" s="19">
        <v>650000</v>
      </c>
      <c r="H347" s="19" t="str">
        <f>IF(' BENGALURU HOUSE PRICE'!$G347&lt;=500000,"Low",
IF(' BENGALURU HOUSE PRICE'!$G347&lt;=1000000,"Medium",
IF(' BENGALURU HOUSE PRICE'!$G347&lt;=3000000,"High","Luxury")))</f>
        <v>Medium</v>
      </c>
    </row>
    <row r="348" spans="1:8" ht="15.75" customHeight="1" x14ac:dyDescent="0.25">
      <c r="A348" s="19" t="s">
        <v>70</v>
      </c>
      <c r="B348" s="19">
        <v>1350</v>
      </c>
      <c r="C348" s="19">
        <v>2</v>
      </c>
      <c r="D348" s="19">
        <v>0</v>
      </c>
      <c r="E348" s="23" t="s">
        <v>27</v>
      </c>
      <c r="F348" s="19" t="str">
        <f t="shared" si="1"/>
        <v>Medium</v>
      </c>
      <c r="G348" s="19">
        <v>1400000</v>
      </c>
      <c r="H348" s="19" t="str">
        <f>IF(' BENGALURU HOUSE PRICE'!$G348&lt;=500000,"Low",
IF(' BENGALURU HOUSE PRICE'!$G348&lt;=1000000,"Medium",
IF(' BENGALURU HOUSE PRICE'!$G348&lt;=3000000,"High","Luxury")))</f>
        <v>High</v>
      </c>
    </row>
    <row r="349" spans="1:8" ht="15.75" customHeight="1" x14ac:dyDescent="0.25">
      <c r="A349" s="19" t="s">
        <v>66</v>
      </c>
      <c r="B349" s="19">
        <v>1260</v>
      </c>
      <c r="C349" s="19">
        <v>3</v>
      </c>
      <c r="D349" s="19">
        <v>1</v>
      </c>
      <c r="E349" s="23" t="s">
        <v>27</v>
      </c>
      <c r="F349" s="19" t="str">
        <f t="shared" si="1"/>
        <v>Medium</v>
      </c>
      <c r="G349" s="19">
        <v>493600</v>
      </c>
      <c r="H349" s="19" t="str">
        <f>IF(' BENGALURU HOUSE PRICE'!$G349&lt;=500000,"Low",
IF(' BENGALURU HOUSE PRICE'!$G349&lt;=1000000,"Medium",
IF(' BENGALURU HOUSE PRICE'!$G349&lt;=3000000,"High","Luxury")))</f>
        <v>Low</v>
      </c>
    </row>
    <row r="350" spans="1:8" ht="15.75" customHeight="1" x14ac:dyDescent="0.25">
      <c r="A350" s="19" t="s">
        <v>195</v>
      </c>
      <c r="B350" s="19">
        <v>1800</v>
      </c>
      <c r="C350" s="19">
        <v>3</v>
      </c>
      <c r="D350" s="19">
        <v>0</v>
      </c>
      <c r="E350" s="23" t="s">
        <v>27</v>
      </c>
      <c r="F350" s="19" t="str">
        <f t="shared" si="1"/>
        <v>Medium</v>
      </c>
      <c r="G350" s="19">
        <v>1500000</v>
      </c>
      <c r="H350" s="19" t="str">
        <f>IF(' BENGALURU HOUSE PRICE'!$G350&lt;=500000,"Low",
IF(' BENGALURU HOUSE PRICE'!$G350&lt;=1000000,"Medium",
IF(' BENGALURU HOUSE PRICE'!$G350&lt;=3000000,"High","Luxury")))</f>
        <v>High</v>
      </c>
    </row>
    <row r="351" spans="1:8" ht="15.75" customHeight="1" x14ac:dyDescent="0.25">
      <c r="A351" s="19" t="s">
        <v>224</v>
      </c>
      <c r="B351" s="19">
        <v>11</v>
      </c>
      <c r="C351" s="19">
        <v>3</v>
      </c>
      <c r="D351" s="19">
        <v>2</v>
      </c>
      <c r="E351" s="23" t="s">
        <v>27</v>
      </c>
      <c r="F351" s="19" t="str">
        <f t="shared" si="1"/>
        <v>Small</v>
      </c>
      <c r="G351" s="19">
        <v>740000</v>
      </c>
      <c r="H351" s="19" t="str">
        <f>IF(' BENGALURU HOUSE PRICE'!$G351&lt;=500000,"Low",
IF(' BENGALURU HOUSE PRICE'!$G351&lt;=1000000,"Medium",
IF(' BENGALURU HOUSE PRICE'!$G351&lt;=3000000,"High","Luxury")))</f>
        <v>Medium</v>
      </c>
    </row>
    <row r="352" spans="1:8" ht="15.75" customHeight="1" x14ac:dyDescent="0.25">
      <c r="A352" s="19" t="s">
        <v>41</v>
      </c>
      <c r="B352" s="19">
        <v>1100</v>
      </c>
      <c r="C352" s="19">
        <v>2</v>
      </c>
      <c r="D352" s="19">
        <v>1</v>
      </c>
      <c r="E352" s="23" t="s">
        <v>262</v>
      </c>
      <c r="F352" s="19" t="str">
        <f t="shared" si="1"/>
        <v>Medium</v>
      </c>
      <c r="G352" s="19">
        <v>432500</v>
      </c>
      <c r="H352" s="19" t="str">
        <f>IF(' BENGALURU HOUSE PRICE'!$G352&lt;=500000,"Low",
IF(' BENGALURU HOUSE PRICE'!$G352&lt;=1000000,"Medium",
IF(' BENGALURU HOUSE PRICE'!$G352&lt;=3000000,"High","Luxury")))</f>
        <v>Low</v>
      </c>
    </row>
    <row r="353" spans="1:8" ht="15.75" customHeight="1" x14ac:dyDescent="0.25">
      <c r="A353" s="19" t="s">
        <v>108</v>
      </c>
      <c r="B353" s="19">
        <v>1508</v>
      </c>
      <c r="C353" s="19">
        <v>2</v>
      </c>
      <c r="D353" s="19">
        <v>1</v>
      </c>
      <c r="E353" s="23" t="s">
        <v>262</v>
      </c>
      <c r="F353" s="19" t="str">
        <f t="shared" si="1"/>
        <v>Medium</v>
      </c>
      <c r="G353" s="19">
        <v>770000</v>
      </c>
      <c r="H353" s="19" t="str">
        <f>IF(' BENGALURU HOUSE PRICE'!$G353&lt;=500000,"Low",
IF(' BENGALURU HOUSE PRICE'!$G353&lt;=1000000,"Medium",
IF(' BENGALURU HOUSE PRICE'!$G353&lt;=3000000,"High","Luxury")))</f>
        <v>Medium</v>
      </c>
    </row>
    <row r="354" spans="1:8" ht="15.75" customHeight="1" x14ac:dyDescent="0.25">
      <c r="A354" s="19" t="s">
        <v>208</v>
      </c>
      <c r="B354" s="19">
        <v>1592</v>
      </c>
      <c r="C354" s="19">
        <v>3</v>
      </c>
      <c r="D354" s="19">
        <v>2</v>
      </c>
      <c r="E354" s="23" t="s">
        <v>27</v>
      </c>
      <c r="F354" s="19" t="str">
        <f t="shared" si="1"/>
        <v>Medium</v>
      </c>
      <c r="G354" s="19">
        <v>750000</v>
      </c>
      <c r="H354" s="19" t="str">
        <f>IF(' BENGALURU HOUSE PRICE'!$G354&lt;=500000,"Low",
IF(' BENGALURU HOUSE PRICE'!$G354&lt;=1000000,"Medium",
IF(' BENGALURU HOUSE PRICE'!$G354&lt;=3000000,"High","Luxury")))</f>
        <v>Medium</v>
      </c>
    </row>
    <row r="355" spans="1:8" ht="15.75" customHeight="1" x14ac:dyDescent="0.25">
      <c r="A355" s="19" t="s">
        <v>35</v>
      </c>
      <c r="B355" s="19">
        <v>1388</v>
      </c>
      <c r="C355" s="19">
        <v>2</v>
      </c>
      <c r="D355" s="19">
        <v>3</v>
      </c>
      <c r="E355" s="23" t="s">
        <v>262</v>
      </c>
      <c r="F355" s="19" t="str">
        <f t="shared" si="1"/>
        <v>Medium</v>
      </c>
      <c r="G355" s="19">
        <v>570000</v>
      </c>
      <c r="H355" s="19" t="str">
        <f>IF(' BENGALURU HOUSE PRICE'!$G355&lt;=500000,"Low",
IF(' BENGALURU HOUSE PRICE'!$G355&lt;=1000000,"Medium",
IF(' BENGALURU HOUSE PRICE'!$G355&lt;=3000000,"High","Luxury")))</f>
        <v>Medium</v>
      </c>
    </row>
    <row r="356" spans="1:8" ht="15.75" customHeight="1" x14ac:dyDescent="0.25">
      <c r="A356" s="19" t="s">
        <v>96</v>
      </c>
      <c r="B356" s="19">
        <v>630</v>
      </c>
      <c r="C356" s="19">
        <v>1</v>
      </c>
      <c r="D356" s="19">
        <v>1</v>
      </c>
      <c r="E356" s="23" t="s">
        <v>267</v>
      </c>
      <c r="F356" s="19" t="str">
        <f t="shared" si="1"/>
        <v>Small</v>
      </c>
      <c r="G356" s="19">
        <v>283500</v>
      </c>
      <c r="H356" s="19" t="str">
        <f>IF(' BENGALURU HOUSE PRICE'!$G356&lt;=500000,"Low",
IF(' BENGALURU HOUSE PRICE'!$G356&lt;=1000000,"Medium",
IF(' BENGALURU HOUSE PRICE'!$G356&lt;=3000000,"High","Luxury")))</f>
        <v>Low</v>
      </c>
    </row>
    <row r="357" spans="1:8" ht="15.75" customHeight="1" x14ac:dyDescent="0.25">
      <c r="A357" s="19" t="s">
        <v>203</v>
      </c>
      <c r="B357" s="19">
        <v>2000</v>
      </c>
      <c r="C357" s="19">
        <v>3</v>
      </c>
      <c r="D357" s="19">
        <v>2</v>
      </c>
      <c r="E357" s="23" t="s">
        <v>27</v>
      </c>
      <c r="F357" s="19" t="str">
        <f t="shared" si="1"/>
        <v>Medium</v>
      </c>
      <c r="G357" s="19">
        <v>3650000</v>
      </c>
      <c r="H357" s="19" t="str">
        <f>IF(' BENGALURU HOUSE PRICE'!$G357&lt;=500000,"Low",
IF(' BENGALURU HOUSE PRICE'!$G357&lt;=1000000,"Medium",
IF(' BENGALURU HOUSE PRICE'!$G357&lt;=3000000,"High","Luxury")))</f>
        <v>Luxury</v>
      </c>
    </row>
    <row r="358" spans="1:8" ht="15.75" customHeight="1" x14ac:dyDescent="0.25">
      <c r="A358" s="19" t="s">
        <v>50</v>
      </c>
      <c r="B358" s="19">
        <v>1762</v>
      </c>
      <c r="C358" s="19">
        <v>3</v>
      </c>
      <c r="D358" s="19">
        <v>1</v>
      </c>
      <c r="E358" s="23" t="s">
        <v>27</v>
      </c>
      <c r="F358" s="19" t="str">
        <f t="shared" si="1"/>
        <v>Medium</v>
      </c>
      <c r="G358" s="19">
        <v>1250000</v>
      </c>
      <c r="H358" s="19" t="str">
        <f>IF(' BENGALURU HOUSE PRICE'!$G358&lt;=500000,"Low",
IF(' BENGALURU HOUSE PRICE'!$G358&lt;=1000000,"Medium",
IF(' BENGALURU HOUSE PRICE'!$G358&lt;=3000000,"High","Luxury")))</f>
        <v>High</v>
      </c>
    </row>
    <row r="359" spans="1:8" ht="15.75" customHeight="1" x14ac:dyDescent="0.25">
      <c r="A359" s="19" t="s">
        <v>333</v>
      </c>
      <c r="B359" s="19">
        <v>950</v>
      </c>
      <c r="C359" s="19">
        <v>2</v>
      </c>
      <c r="D359" s="19">
        <v>2</v>
      </c>
      <c r="E359" s="23" t="s">
        <v>262</v>
      </c>
      <c r="F359" s="19" t="str">
        <f t="shared" si="1"/>
        <v>Small</v>
      </c>
      <c r="G359" s="19">
        <v>500000</v>
      </c>
      <c r="H359" s="19" t="str">
        <f>IF(' BENGALURU HOUSE PRICE'!$G359&lt;=500000,"Low",
IF(' BENGALURU HOUSE PRICE'!$G359&lt;=1000000,"Medium",
IF(' BENGALURU HOUSE PRICE'!$G359&lt;=3000000,"High","Luxury")))</f>
        <v>Low</v>
      </c>
    </row>
    <row r="360" spans="1:8" ht="15.75" customHeight="1" x14ac:dyDescent="0.25">
      <c r="A360" s="19" t="s">
        <v>334</v>
      </c>
      <c r="B360" s="19">
        <v>3252</v>
      </c>
      <c r="C360" s="19">
        <v>5</v>
      </c>
      <c r="D360" s="19">
        <v>3</v>
      </c>
      <c r="E360" s="23" t="s">
        <v>264</v>
      </c>
      <c r="F360" s="19" t="str">
        <f t="shared" si="1"/>
        <v>Large</v>
      </c>
      <c r="G360" s="19">
        <v>3350000</v>
      </c>
      <c r="H360" s="19" t="str">
        <f>IF(' BENGALURU HOUSE PRICE'!$G360&lt;=500000,"Low",
IF(' BENGALURU HOUSE PRICE'!$G360&lt;=1000000,"Medium",
IF(' BENGALURU HOUSE PRICE'!$G360&lt;=3000000,"High","Luxury")))</f>
        <v>Luxury</v>
      </c>
    </row>
    <row r="361" spans="1:8" ht="15.75" customHeight="1" x14ac:dyDescent="0.25">
      <c r="A361" s="19" t="s">
        <v>168</v>
      </c>
      <c r="B361" s="19">
        <v>1116</v>
      </c>
      <c r="C361" s="19">
        <v>2</v>
      </c>
      <c r="D361" s="19">
        <v>1</v>
      </c>
      <c r="E361" s="23" t="s">
        <v>262</v>
      </c>
      <c r="F361" s="19" t="str">
        <f t="shared" si="1"/>
        <v>Medium</v>
      </c>
      <c r="G361" s="19">
        <v>500000</v>
      </c>
      <c r="H361" s="19" t="str">
        <f>IF(' BENGALURU HOUSE PRICE'!$G361&lt;=500000,"Low",
IF(' BENGALURU HOUSE PRICE'!$G361&lt;=1000000,"Medium",
IF(' BENGALURU HOUSE PRICE'!$G361&lt;=3000000,"High","Luxury")))</f>
        <v>Low</v>
      </c>
    </row>
    <row r="362" spans="1:8" ht="15.75" customHeight="1" x14ac:dyDescent="0.25">
      <c r="A362" s="19" t="s">
        <v>185</v>
      </c>
      <c r="B362" s="19">
        <v>1308</v>
      </c>
      <c r="C362" s="19">
        <v>2</v>
      </c>
      <c r="D362" s="19">
        <v>2</v>
      </c>
      <c r="E362" s="23" t="s">
        <v>262</v>
      </c>
      <c r="F362" s="19" t="str">
        <f t="shared" si="1"/>
        <v>Medium</v>
      </c>
      <c r="G362" s="19">
        <v>890400</v>
      </c>
      <c r="H362" s="19" t="str">
        <f>IF(' BENGALURU HOUSE PRICE'!$G362&lt;=500000,"Low",
IF(' BENGALURU HOUSE PRICE'!$G362&lt;=1000000,"Medium",
IF(' BENGALURU HOUSE PRICE'!$G362&lt;=3000000,"High","Luxury")))</f>
        <v>Medium</v>
      </c>
    </row>
    <row r="363" spans="1:8" ht="15.75" customHeight="1" x14ac:dyDescent="0.25">
      <c r="A363" s="19" t="s">
        <v>179</v>
      </c>
      <c r="B363" s="19">
        <v>1200</v>
      </c>
      <c r="C363" s="19">
        <v>3</v>
      </c>
      <c r="D363" s="19">
        <v>0</v>
      </c>
      <c r="E363" s="23" t="s">
        <v>27</v>
      </c>
      <c r="F363" s="19" t="str">
        <f t="shared" si="1"/>
        <v>Medium</v>
      </c>
      <c r="G363" s="19">
        <v>900000</v>
      </c>
      <c r="H363" s="19" t="str">
        <f>IF(' BENGALURU HOUSE PRICE'!$G363&lt;=500000,"Low",
IF(' BENGALURU HOUSE PRICE'!$G363&lt;=1000000,"Medium",
IF(' BENGALURU HOUSE PRICE'!$G363&lt;=3000000,"High","Luxury")))</f>
        <v>Medium</v>
      </c>
    </row>
    <row r="364" spans="1:8" ht="15.75" customHeight="1" x14ac:dyDescent="0.25">
      <c r="A364" s="19" t="s">
        <v>335</v>
      </c>
      <c r="B364" s="19">
        <v>1500</v>
      </c>
      <c r="C364" s="19">
        <v>4</v>
      </c>
      <c r="D364" s="19">
        <v>2</v>
      </c>
      <c r="E364" s="23" t="s">
        <v>264</v>
      </c>
      <c r="F364" s="19" t="str">
        <f t="shared" si="1"/>
        <v>Medium</v>
      </c>
      <c r="G364" s="19">
        <v>2300000</v>
      </c>
      <c r="H364" s="19" t="str">
        <f>IF(' BENGALURU HOUSE PRICE'!$G364&lt;=500000,"Low",
IF(' BENGALURU HOUSE PRICE'!$G364&lt;=1000000,"Medium",
IF(' BENGALURU HOUSE PRICE'!$G364&lt;=3000000,"High","Luxury")))</f>
        <v>High</v>
      </c>
    </row>
    <row r="365" spans="1:8" ht="15.75" customHeight="1" x14ac:dyDescent="0.25">
      <c r="A365" s="19" t="s">
        <v>52</v>
      </c>
      <c r="B365" s="19">
        <v>500</v>
      </c>
      <c r="C365" s="19">
        <v>1</v>
      </c>
      <c r="D365" s="19">
        <v>1</v>
      </c>
      <c r="E365" s="23" t="s">
        <v>267</v>
      </c>
      <c r="F365" s="19" t="str">
        <f t="shared" si="1"/>
        <v>Small</v>
      </c>
      <c r="G365" s="19">
        <v>185000</v>
      </c>
      <c r="H365" s="19" t="str">
        <f>IF(' BENGALURU HOUSE PRICE'!$G365&lt;=500000,"Low",
IF(' BENGALURU HOUSE PRICE'!$G365&lt;=1000000,"Medium",
IF(' BENGALURU HOUSE PRICE'!$G365&lt;=3000000,"High","Luxury")))</f>
        <v>Low</v>
      </c>
    </row>
    <row r="366" spans="1:8" ht="15.75" customHeight="1" x14ac:dyDescent="0.25">
      <c r="A366" s="19" t="s">
        <v>336</v>
      </c>
      <c r="B366" s="19">
        <v>1075</v>
      </c>
      <c r="C366" s="19">
        <v>2</v>
      </c>
      <c r="D366" s="19">
        <v>1</v>
      </c>
      <c r="E366" s="23" t="s">
        <v>262</v>
      </c>
      <c r="F366" s="19" t="str">
        <f t="shared" si="1"/>
        <v>Medium</v>
      </c>
      <c r="G366" s="19">
        <v>520000</v>
      </c>
      <c r="H366" s="19" t="str">
        <f>IF(' BENGALURU HOUSE PRICE'!$G366&lt;=500000,"Low",
IF(' BENGALURU HOUSE PRICE'!$G366&lt;=1000000,"Medium",
IF(' BENGALURU HOUSE PRICE'!$G366&lt;=3000000,"High","Luxury")))</f>
        <v>Medium</v>
      </c>
    </row>
    <row r="367" spans="1:8" ht="15.75" customHeight="1" x14ac:dyDescent="0.25">
      <c r="A367" s="19" t="s">
        <v>74</v>
      </c>
      <c r="B367" s="19">
        <v>530</v>
      </c>
      <c r="C367" s="19">
        <v>1</v>
      </c>
      <c r="D367" s="19">
        <v>0</v>
      </c>
      <c r="E367" s="23" t="s">
        <v>267</v>
      </c>
      <c r="F367" s="19" t="str">
        <f t="shared" si="1"/>
        <v>Small</v>
      </c>
      <c r="G367" s="19">
        <v>116600</v>
      </c>
      <c r="H367" s="19" t="str">
        <f>IF(' BENGALURU HOUSE PRICE'!$G367&lt;=500000,"Low",
IF(' BENGALURU HOUSE PRICE'!$G367&lt;=1000000,"Medium",
IF(' BENGALURU HOUSE PRICE'!$G367&lt;=3000000,"High","Luxury")))</f>
        <v>Low</v>
      </c>
    </row>
    <row r="368" spans="1:8" ht="15.75" customHeight="1" x14ac:dyDescent="0.25">
      <c r="A368" s="19" t="s">
        <v>59</v>
      </c>
      <c r="B368" s="19">
        <v>1205</v>
      </c>
      <c r="C368" s="19">
        <v>2</v>
      </c>
      <c r="D368" s="19">
        <v>3</v>
      </c>
      <c r="E368" s="23" t="s">
        <v>262</v>
      </c>
      <c r="F368" s="19" t="str">
        <f t="shared" si="1"/>
        <v>Medium</v>
      </c>
      <c r="G368" s="19">
        <v>660000</v>
      </c>
      <c r="H368" s="19" t="str">
        <f>IF(' BENGALURU HOUSE PRICE'!$G368&lt;=500000,"Low",
IF(' BENGALURU HOUSE PRICE'!$G368&lt;=1000000,"Medium",
IF(' BENGALURU HOUSE PRICE'!$G368&lt;=3000000,"High","Luxury")))</f>
        <v>Medium</v>
      </c>
    </row>
    <row r="369" spans="1:8" ht="15.75" customHeight="1" x14ac:dyDescent="0.25">
      <c r="A369" s="19" t="s">
        <v>337</v>
      </c>
      <c r="B369" s="19">
        <v>1075</v>
      </c>
      <c r="C369" s="19">
        <v>2</v>
      </c>
      <c r="D369" s="19">
        <v>2</v>
      </c>
      <c r="E369" s="23" t="s">
        <v>262</v>
      </c>
      <c r="F369" s="19" t="str">
        <f t="shared" si="1"/>
        <v>Medium</v>
      </c>
      <c r="G369" s="19">
        <v>600000</v>
      </c>
      <c r="H369" s="19" t="str">
        <f>IF(' BENGALURU HOUSE PRICE'!$G369&lt;=500000,"Low",
IF(' BENGALURU HOUSE PRICE'!$G369&lt;=1000000,"Medium",
IF(' BENGALURU HOUSE PRICE'!$G369&lt;=3000000,"High","Luxury")))</f>
        <v>Medium</v>
      </c>
    </row>
    <row r="370" spans="1:8" ht="15.75" customHeight="1" x14ac:dyDescent="0.25">
      <c r="A370" s="19" t="s">
        <v>273</v>
      </c>
      <c r="B370" s="19">
        <v>930</v>
      </c>
      <c r="C370" s="19">
        <v>2</v>
      </c>
      <c r="D370" s="19">
        <v>2</v>
      </c>
      <c r="E370" s="23" t="s">
        <v>262</v>
      </c>
      <c r="F370" s="19" t="str">
        <f t="shared" si="1"/>
        <v>Small</v>
      </c>
      <c r="G370" s="19">
        <v>390000</v>
      </c>
      <c r="H370" s="19" t="str">
        <f>IF(' BENGALURU HOUSE PRICE'!$G370&lt;=500000,"Low",
IF(' BENGALURU HOUSE PRICE'!$G370&lt;=1000000,"Medium",
IF(' BENGALURU HOUSE PRICE'!$G370&lt;=3000000,"High","Luxury")))</f>
        <v>Low</v>
      </c>
    </row>
    <row r="371" spans="1:8" ht="15.75" customHeight="1" x14ac:dyDescent="0.25">
      <c r="A371" s="19" t="s">
        <v>47</v>
      </c>
      <c r="B371" s="19">
        <v>1380</v>
      </c>
      <c r="C371" s="19">
        <v>2</v>
      </c>
      <c r="D371" s="19">
        <v>1</v>
      </c>
      <c r="E371" s="23" t="s">
        <v>262</v>
      </c>
      <c r="F371" s="19" t="str">
        <f t="shared" si="1"/>
        <v>Medium</v>
      </c>
      <c r="G371" s="19">
        <v>600000</v>
      </c>
      <c r="H371" s="19" t="str">
        <f>IF(' BENGALURU HOUSE PRICE'!$G371&lt;=500000,"Low",
IF(' BENGALURU HOUSE PRICE'!$G371&lt;=1000000,"Medium",
IF(' BENGALURU HOUSE PRICE'!$G371&lt;=3000000,"High","Luxury")))</f>
        <v>Medium</v>
      </c>
    </row>
    <row r="372" spans="1:8" ht="15.75" customHeight="1" x14ac:dyDescent="0.25">
      <c r="A372" s="19" t="s">
        <v>18</v>
      </c>
      <c r="B372" s="19">
        <v>2483</v>
      </c>
      <c r="C372" s="19">
        <v>5</v>
      </c>
      <c r="D372" s="19">
        <v>2</v>
      </c>
      <c r="E372" s="23" t="s">
        <v>264</v>
      </c>
      <c r="F372" s="19" t="str">
        <f t="shared" si="1"/>
        <v>Large</v>
      </c>
      <c r="G372" s="19">
        <v>2120000</v>
      </c>
      <c r="H372" s="19" t="str">
        <f>IF(' BENGALURU HOUSE PRICE'!$G372&lt;=500000,"Low",
IF(' BENGALURU HOUSE PRICE'!$G372&lt;=1000000,"Medium",
IF(' BENGALURU HOUSE PRICE'!$G372&lt;=3000000,"High","Luxury")))</f>
        <v>High</v>
      </c>
    </row>
    <row r="373" spans="1:8" ht="15.75" customHeight="1" x14ac:dyDescent="0.25">
      <c r="A373" s="19" t="s">
        <v>154</v>
      </c>
      <c r="B373" s="19">
        <v>1166</v>
      </c>
      <c r="C373" s="19">
        <v>2</v>
      </c>
      <c r="D373" s="19">
        <v>2</v>
      </c>
      <c r="E373" s="23" t="s">
        <v>262</v>
      </c>
      <c r="F373" s="19" t="str">
        <f t="shared" si="1"/>
        <v>Medium</v>
      </c>
      <c r="G373" s="19">
        <v>550000</v>
      </c>
      <c r="H373" s="19" t="str">
        <f>IF(' BENGALURU HOUSE PRICE'!$G373&lt;=500000,"Low",
IF(' BENGALURU HOUSE PRICE'!$G373&lt;=1000000,"Medium",
IF(' BENGALURU HOUSE PRICE'!$G373&lt;=3000000,"High","Luxury")))</f>
        <v>Medium</v>
      </c>
    </row>
    <row r="374" spans="1:8" ht="15.75" customHeight="1" x14ac:dyDescent="0.25">
      <c r="A374" s="19" t="s">
        <v>52</v>
      </c>
      <c r="B374" s="19">
        <v>1050</v>
      </c>
      <c r="C374" s="19">
        <v>2</v>
      </c>
      <c r="D374" s="19">
        <v>1</v>
      </c>
      <c r="E374" s="23" t="s">
        <v>262</v>
      </c>
      <c r="F374" s="19" t="str">
        <f t="shared" si="1"/>
        <v>Medium</v>
      </c>
      <c r="G374" s="19">
        <v>650000</v>
      </c>
      <c r="H374" s="19" t="str">
        <f>IF(' BENGALURU HOUSE PRICE'!$G374&lt;=500000,"Low",
IF(' BENGALURU HOUSE PRICE'!$G374&lt;=1000000,"Medium",
IF(' BENGALURU HOUSE PRICE'!$G374&lt;=3000000,"High","Luxury")))</f>
        <v>Medium</v>
      </c>
    </row>
    <row r="375" spans="1:8" ht="15.75" customHeight="1" x14ac:dyDescent="0.25">
      <c r="A375" s="19" t="s">
        <v>102</v>
      </c>
      <c r="B375" s="19">
        <v>2024</v>
      </c>
      <c r="C375" s="19">
        <v>3</v>
      </c>
      <c r="D375" s="19">
        <v>2</v>
      </c>
      <c r="E375" s="23" t="s">
        <v>27</v>
      </c>
      <c r="F375" s="19" t="str">
        <f t="shared" si="1"/>
        <v>Large</v>
      </c>
      <c r="G375" s="19">
        <v>2750000</v>
      </c>
      <c r="H375" s="19" t="str">
        <f>IF(' BENGALURU HOUSE PRICE'!$G375&lt;=500000,"Low",
IF(' BENGALURU HOUSE PRICE'!$G375&lt;=1000000,"Medium",
IF(' BENGALURU HOUSE PRICE'!$G375&lt;=3000000,"High","Luxury")))</f>
        <v>High</v>
      </c>
    </row>
    <row r="376" spans="1:8" ht="15.75" customHeight="1" x14ac:dyDescent="0.25">
      <c r="A376" s="19" t="s">
        <v>58</v>
      </c>
      <c r="B376" s="19">
        <v>1200</v>
      </c>
      <c r="C376" s="19">
        <v>2</v>
      </c>
      <c r="D376" s="19">
        <v>2</v>
      </c>
      <c r="E376" s="23" t="s">
        <v>262</v>
      </c>
      <c r="F376" s="19" t="str">
        <f t="shared" si="1"/>
        <v>Medium</v>
      </c>
      <c r="G376" s="19">
        <v>468000</v>
      </c>
      <c r="H376" s="19" t="str">
        <f>IF(' BENGALURU HOUSE PRICE'!$G376&lt;=500000,"Low",
IF(' BENGALURU HOUSE PRICE'!$G376&lt;=1000000,"Medium",
IF(' BENGALURU HOUSE PRICE'!$G376&lt;=3000000,"High","Luxury")))</f>
        <v>Low</v>
      </c>
    </row>
    <row r="377" spans="1:8" ht="15.75" customHeight="1" x14ac:dyDescent="0.25">
      <c r="A377" s="19" t="s">
        <v>164</v>
      </c>
      <c r="B377" s="19">
        <v>1600</v>
      </c>
      <c r="C377" s="19">
        <v>2</v>
      </c>
      <c r="D377" s="19">
        <v>1</v>
      </c>
      <c r="E377" s="23" t="s">
        <v>27</v>
      </c>
      <c r="F377" s="19" t="str">
        <f t="shared" si="1"/>
        <v>Medium</v>
      </c>
      <c r="G377" s="19">
        <v>1080000</v>
      </c>
      <c r="H377" s="19" t="str">
        <f>IF(' BENGALURU HOUSE PRICE'!$G377&lt;=500000,"Low",
IF(' BENGALURU HOUSE PRICE'!$G377&lt;=1000000,"Medium",
IF(' BENGALURU HOUSE PRICE'!$G377&lt;=3000000,"High","Luxury")))</f>
        <v>High</v>
      </c>
    </row>
    <row r="378" spans="1:8" ht="15.75" customHeight="1" x14ac:dyDescent="0.25">
      <c r="A378" s="19" t="s">
        <v>63</v>
      </c>
      <c r="B378" s="19">
        <v>1935</v>
      </c>
      <c r="C378" s="19">
        <v>3</v>
      </c>
      <c r="D378" s="19">
        <v>2</v>
      </c>
      <c r="E378" s="23" t="s">
        <v>27</v>
      </c>
      <c r="F378" s="19" t="str">
        <f t="shared" si="1"/>
        <v>Medium</v>
      </c>
      <c r="G378" s="19">
        <v>1100000</v>
      </c>
      <c r="H378" s="19" t="str">
        <f>IF(' BENGALURU HOUSE PRICE'!$G378&lt;=500000,"Low",
IF(' BENGALURU HOUSE PRICE'!$G378&lt;=1000000,"Medium",
IF(' BENGALURU HOUSE PRICE'!$G378&lt;=3000000,"High","Luxury")))</f>
        <v>High</v>
      </c>
    </row>
    <row r="379" spans="1:8" ht="15.75" customHeight="1" x14ac:dyDescent="0.25">
      <c r="A379" s="19" t="s">
        <v>33</v>
      </c>
      <c r="B379" s="19">
        <v>451</v>
      </c>
      <c r="C379" s="19">
        <v>1</v>
      </c>
      <c r="D379" s="19">
        <v>0</v>
      </c>
      <c r="E379" s="23" t="s">
        <v>267</v>
      </c>
      <c r="F379" s="19" t="str">
        <f t="shared" si="1"/>
        <v>Small</v>
      </c>
      <c r="G379" s="19">
        <v>299000</v>
      </c>
      <c r="H379" s="19" t="str">
        <f>IF(' BENGALURU HOUSE PRICE'!$G379&lt;=500000,"Low",
IF(' BENGALURU HOUSE PRICE'!$G379&lt;=1000000,"Medium",
IF(' BENGALURU HOUSE PRICE'!$G379&lt;=3000000,"High","Luxury")))</f>
        <v>Low</v>
      </c>
    </row>
    <row r="380" spans="1:8" ht="15.75" customHeight="1" x14ac:dyDescent="0.25">
      <c r="A380" s="19" t="s">
        <v>16</v>
      </c>
      <c r="B380" s="19">
        <v>1800</v>
      </c>
      <c r="C380" s="19">
        <v>3</v>
      </c>
      <c r="D380" s="19">
        <v>2</v>
      </c>
      <c r="E380" s="23" t="s">
        <v>27</v>
      </c>
      <c r="F380" s="19" t="str">
        <f t="shared" si="1"/>
        <v>Medium</v>
      </c>
      <c r="G380" s="19">
        <v>950000</v>
      </c>
      <c r="H380" s="19" t="str">
        <f>IF(' BENGALURU HOUSE PRICE'!$G380&lt;=500000,"Low",
IF(' BENGALURU HOUSE PRICE'!$G380&lt;=1000000,"Medium",
IF(' BENGALURU HOUSE PRICE'!$G380&lt;=3000000,"High","Luxury")))</f>
        <v>Medium</v>
      </c>
    </row>
    <row r="381" spans="1:8" ht="15.75" customHeight="1" x14ac:dyDescent="0.25">
      <c r="A381" s="19" t="s">
        <v>130</v>
      </c>
      <c r="B381" s="19">
        <v>1400</v>
      </c>
      <c r="C381" s="19">
        <v>3</v>
      </c>
      <c r="D381" s="19">
        <v>0</v>
      </c>
      <c r="E381" s="23" t="s">
        <v>27</v>
      </c>
      <c r="F381" s="19" t="str">
        <f t="shared" si="1"/>
        <v>Medium</v>
      </c>
      <c r="G381" s="19">
        <v>770000</v>
      </c>
      <c r="H381" s="19" t="str">
        <f>IF(' BENGALURU HOUSE PRICE'!$G381&lt;=500000,"Low",
IF(' BENGALURU HOUSE PRICE'!$G381&lt;=1000000,"Medium",
IF(' BENGALURU HOUSE PRICE'!$G381&lt;=3000000,"High","Luxury")))</f>
        <v>Medium</v>
      </c>
    </row>
    <row r="382" spans="1:8" ht="15.75" customHeight="1" x14ac:dyDescent="0.25">
      <c r="A382" s="19" t="s">
        <v>110</v>
      </c>
      <c r="B382" s="19">
        <v>1801</v>
      </c>
      <c r="C382" s="19">
        <v>3</v>
      </c>
      <c r="D382" s="19">
        <v>2</v>
      </c>
      <c r="E382" s="23" t="s">
        <v>27</v>
      </c>
      <c r="F382" s="19" t="str">
        <f t="shared" si="1"/>
        <v>Medium</v>
      </c>
      <c r="G382" s="19">
        <v>1150000</v>
      </c>
      <c r="H382" s="19" t="str">
        <f>IF(' BENGALURU HOUSE PRICE'!$G382&lt;=500000,"Low",
IF(' BENGALURU HOUSE PRICE'!$G382&lt;=1000000,"Medium",
IF(' BENGALURU HOUSE PRICE'!$G382&lt;=3000000,"High","Luxury")))</f>
        <v>High</v>
      </c>
    </row>
    <row r="383" spans="1:8" ht="15.75" customHeight="1" x14ac:dyDescent="0.25">
      <c r="A383" s="19" t="s">
        <v>169</v>
      </c>
      <c r="B383" s="19">
        <v>1451</v>
      </c>
      <c r="C383" s="19">
        <v>2</v>
      </c>
      <c r="D383" s="19">
        <v>2</v>
      </c>
      <c r="E383" s="23" t="s">
        <v>262</v>
      </c>
      <c r="F383" s="19" t="str">
        <f t="shared" si="1"/>
        <v>Medium</v>
      </c>
      <c r="G383" s="19">
        <v>900000</v>
      </c>
      <c r="H383" s="19" t="str">
        <f>IF(' BENGALURU HOUSE PRICE'!$G383&lt;=500000,"Low",
IF(' BENGALURU HOUSE PRICE'!$G383&lt;=1000000,"Medium",
IF(' BENGALURU HOUSE PRICE'!$G383&lt;=3000000,"High","Luxury")))</f>
        <v>Medium</v>
      </c>
    </row>
    <row r="384" spans="1:8" ht="15.75" customHeight="1" x14ac:dyDescent="0.25">
      <c r="A384" s="19" t="s">
        <v>338</v>
      </c>
      <c r="B384" s="19">
        <v>1200</v>
      </c>
      <c r="C384" s="19">
        <v>1</v>
      </c>
      <c r="D384" s="19">
        <v>1</v>
      </c>
      <c r="E384" s="23" t="s">
        <v>262</v>
      </c>
      <c r="F384" s="19" t="str">
        <f t="shared" si="1"/>
        <v>Medium</v>
      </c>
      <c r="G384" s="19">
        <v>360000</v>
      </c>
      <c r="H384" s="19" t="str">
        <f>IF(' BENGALURU HOUSE PRICE'!$G384&lt;=500000,"Low",
IF(' BENGALURU HOUSE PRICE'!$G384&lt;=1000000,"Medium",
IF(' BENGALURU HOUSE PRICE'!$G384&lt;=3000000,"High","Luxury")))</f>
        <v>Low</v>
      </c>
    </row>
    <row r="385" spans="1:8" ht="15.75" customHeight="1" x14ac:dyDescent="0.25">
      <c r="A385" s="19" t="s">
        <v>58</v>
      </c>
      <c r="B385" s="19">
        <v>1160</v>
      </c>
      <c r="C385" s="19">
        <v>2</v>
      </c>
      <c r="D385" s="19">
        <v>2</v>
      </c>
      <c r="E385" s="23" t="s">
        <v>262</v>
      </c>
      <c r="F385" s="19" t="str">
        <f t="shared" si="1"/>
        <v>Medium</v>
      </c>
      <c r="G385" s="19">
        <v>440000</v>
      </c>
      <c r="H385" s="19" t="str">
        <f>IF(' BENGALURU HOUSE PRICE'!$G385&lt;=500000,"Low",
IF(' BENGALURU HOUSE PRICE'!$G385&lt;=1000000,"Medium",
IF(' BENGALURU HOUSE PRICE'!$G385&lt;=3000000,"High","Luxury")))</f>
        <v>Low</v>
      </c>
    </row>
    <row r="386" spans="1:8" ht="15.75" customHeight="1" x14ac:dyDescent="0.25">
      <c r="A386" s="19" t="s">
        <v>148</v>
      </c>
      <c r="B386" s="19">
        <v>1000</v>
      </c>
      <c r="C386" s="19">
        <v>2</v>
      </c>
      <c r="D386" s="19">
        <v>1</v>
      </c>
      <c r="E386" s="23" t="s">
        <v>262</v>
      </c>
      <c r="F386" s="19" t="str">
        <f t="shared" si="1"/>
        <v>Small</v>
      </c>
      <c r="G386" s="19">
        <v>250000</v>
      </c>
      <c r="H386" s="19" t="str">
        <f>IF(' BENGALURU HOUSE PRICE'!$G386&lt;=500000,"Low",
IF(' BENGALURU HOUSE PRICE'!$G386&lt;=1000000,"Medium",
IF(' BENGALURU HOUSE PRICE'!$G386&lt;=3000000,"High","Luxury")))</f>
        <v>Low</v>
      </c>
    </row>
    <row r="387" spans="1:8" ht="15.75" customHeight="1" x14ac:dyDescent="0.25">
      <c r="A387" s="19" t="s">
        <v>19</v>
      </c>
      <c r="B387" s="19">
        <v>950</v>
      </c>
      <c r="C387" s="19">
        <v>2</v>
      </c>
      <c r="D387" s="19">
        <v>1</v>
      </c>
      <c r="E387" s="23" t="s">
        <v>262</v>
      </c>
      <c r="F387" s="19" t="str">
        <f t="shared" si="1"/>
        <v>Small</v>
      </c>
      <c r="G387" s="19">
        <v>400000</v>
      </c>
      <c r="H387" s="19" t="str">
        <f>IF(' BENGALURU HOUSE PRICE'!$G387&lt;=500000,"Low",
IF(' BENGALURU HOUSE PRICE'!$G387&lt;=1000000,"Medium",
IF(' BENGALURU HOUSE PRICE'!$G387&lt;=3000000,"High","Luxury")))</f>
        <v>Low</v>
      </c>
    </row>
    <row r="388" spans="1:8" ht="15.75" customHeight="1" x14ac:dyDescent="0.25">
      <c r="A388" s="19" t="s">
        <v>114</v>
      </c>
      <c r="B388" s="19">
        <v>1629</v>
      </c>
      <c r="C388" s="19">
        <v>3</v>
      </c>
      <c r="D388" s="19">
        <v>2</v>
      </c>
      <c r="E388" s="23" t="s">
        <v>27</v>
      </c>
      <c r="F388" s="19" t="str">
        <f t="shared" si="1"/>
        <v>Medium</v>
      </c>
      <c r="G388" s="19">
        <v>790000</v>
      </c>
      <c r="H388" s="19" t="str">
        <f>IF(' BENGALURU HOUSE PRICE'!$G388&lt;=500000,"Low",
IF(' BENGALURU HOUSE PRICE'!$G388&lt;=1000000,"Medium",
IF(' BENGALURU HOUSE PRICE'!$G388&lt;=3000000,"High","Luxury")))</f>
        <v>Medium</v>
      </c>
    </row>
    <row r="389" spans="1:8" ht="15.75" customHeight="1" x14ac:dyDescent="0.25">
      <c r="A389" s="19" t="s">
        <v>245</v>
      </c>
      <c r="B389" s="19">
        <v>1580</v>
      </c>
      <c r="C389" s="19">
        <v>2</v>
      </c>
      <c r="D389" s="19">
        <v>0</v>
      </c>
      <c r="E389" s="23" t="s">
        <v>27</v>
      </c>
      <c r="F389" s="19" t="str">
        <f t="shared" si="1"/>
        <v>Medium</v>
      </c>
      <c r="G389" s="19">
        <v>1340000</v>
      </c>
      <c r="H389" s="19" t="str">
        <f>IF(' BENGALURU HOUSE PRICE'!$G389&lt;=500000,"Low",
IF(' BENGALURU HOUSE PRICE'!$G389&lt;=1000000,"Medium",
IF(' BENGALURU HOUSE PRICE'!$G389&lt;=3000000,"High","Luxury")))</f>
        <v>High</v>
      </c>
    </row>
    <row r="390" spans="1:8" ht="15.75" customHeight="1" x14ac:dyDescent="0.25">
      <c r="A390" s="19" t="s">
        <v>245</v>
      </c>
      <c r="B390" s="19">
        <v>1826</v>
      </c>
      <c r="C390" s="19">
        <v>3</v>
      </c>
      <c r="D390" s="19">
        <v>2</v>
      </c>
      <c r="E390" s="23" t="s">
        <v>27</v>
      </c>
      <c r="F390" s="19" t="str">
        <f t="shared" si="1"/>
        <v>Medium</v>
      </c>
      <c r="G390" s="19">
        <v>1210000</v>
      </c>
      <c r="H390" s="19" t="str">
        <f>IF(' BENGALURU HOUSE PRICE'!$G390&lt;=500000,"Low",
IF(' BENGALURU HOUSE PRICE'!$G390&lt;=1000000,"Medium",
IF(' BENGALURU HOUSE PRICE'!$G390&lt;=3000000,"High","Luxury")))</f>
        <v>High</v>
      </c>
    </row>
    <row r="391" spans="1:8" ht="15.75" customHeight="1" x14ac:dyDescent="0.25">
      <c r="A391" s="19" t="s">
        <v>15</v>
      </c>
      <c r="B391" s="19">
        <v>1245</v>
      </c>
      <c r="C391" s="19">
        <v>2</v>
      </c>
      <c r="D391" s="19">
        <v>1</v>
      </c>
      <c r="E391" s="23" t="s">
        <v>262</v>
      </c>
      <c r="F391" s="19" t="str">
        <f t="shared" si="1"/>
        <v>Medium</v>
      </c>
      <c r="G391" s="19">
        <v>940000</v>
      </c>
      <c r="H391" s="19" t="str">
        <f>IF(' BENGALURU HOUSE PRICE'!$G391&lt;=500000,"Low",
IF(' BENGALURU HOUSE PRICE'!$G391&lt;=1000000,"Medium",
IF(' BENGALURU HOUSE PRICE'!$G391&lt;=3000000,"High","Luxury")))</f>
        <v>Medium</v>
      </c>
    </row>
    <row r="392" spans="1:8" ht="15.75" customHeight="1" x14ac:dyDescent="0.25">
      <c r="A392" s="19" t="s">
        <v>21</v>
      </c>
      <c r="B392" s="19">
        <v>1145</v>
      </c>
      <c r="C392" s="19">
        <v>2</v>
      </c>
      <c r="D392" s="19">
        <v>2</v>
      </c>
      <c r="E392" s="23" t="s">
        <v>262</v>
      </c>
      <c r="F392" s="19" t="str">
        <f t="shared" si="1"/>
        <v>Medium</v>
      </c>
      <c r="G392" s="19">
        <v>457900</v>
      </c>
      <c r="H392" s="19" t="str">
        <f>IF(' BENGALURU HOUSE PRICE'!$G392&lt;=500000,"Low",
IF(' BENGALURU HOUSE PRICE'!$G392&lt;=1000000,"Medium",
IF(' BENGALURU HOUSE PRICE'!$G392&lt;=3000000,"High","Luxury")))</f>
        <v>Low</v>
      </c>
    </row>
    <row r="393" spans="1:8" ht="15.75" customHeight="1" x14ac:dyDescent="0.25">
      <c r="A393" s="19" t="s">
        <v>219</v>
      </c>
      <c r="B393" s="19">
        <v>825</v>
      </c>
      <c r="C393" s="19">
        <v>2</v>
      </c>
      <c r="D393" s="19">
        <v>1</v>
      </c>
      <c r="E393" s="23" t="s">
        <v>262</v>
      </c>
      <c r="F393" s="19" t="str">
        <f t="shared" si="1"/>
        <v>Small</v>
      </c>
      <c r="G393" s="19">
        <v>330000</v>
      </c>
      <c r="H393" s="19" t="str">
        <f>IF(' BENGALURU HOUSE PRICE'!$G393&lt;=500000,"Low",
IF(' BENGALURU HOUSE PRICE'!$G393&lt;=1000000,"Medium",
IF(' BENGALURU HOUSE PRICE'!$G393&lt;=3000000,"High","Luxury")))</f>
        <v>Low</v>
      </c>
    </row>
    <row r="394" spans="1:8" ht="15.75" customHeight="1" x14ac:dyDescent="0.25">
      <c r="A394" s="19" t="s">
        <v>250</v>
      </c>
      <c r="B394" s="19">
        <v>1693</v>
      </c>
      <c r="C394" s="19">
        <v>3</v>
      </c>
      <c r="D394" s="19">
        <v>3</v>
      </c>
      <c r="E394" s="23" t="s">
        <v>27</v>
      </c>
      <c r="F394" s="19" t="str">
        <f t="shared" si="1"/>
        <v>Medium</v>
      </c>
      <c r="G394" s="19">
        <v>1080000</v>
      </c>
      <c r="H394" s="19" t="str">
        <f>IF(' BENGALURU HOUSE PRICE'!$G394&lt;=500000,"Low",
IF(' BENGALURU HOUSE PRICE'!$G394&lt;=1000000,"Medium",
IF(' BENGALURU HOUSE PRICE'!$G394&lt;=3000000,"High","Luxury")))</f>
        <v>High</v>
      </c>
    </row>
    <row r="395" spans="1:8" ht="15.75" customHeight="1" x14ac:dyDescent="0.25">
      <c r="A395" s="19" t="s">
        <v>97</v>
      </c>
      <c r="B395" s="19">
        <v>1113</v>
      </c>
      <c r="C395" s="19">
        <v>2</v>
      </c>
      <c r="D395" s="19">
        <v>2</v>
      </c>
      <c r="E395" s="23" t="s">
        <v>262</v>
      </c>
      <c r="F395" s="19" t="str">
        <f t="shared" si="1"/>
        <v>Medium</v>
      </c>
      <c r="G395" s="19">
        <v>530000</v>
      </c>
      <c r="H395" s="19" t="str">
        <f>IF(' BENGALURU HOUSE PRICE'!$G395&lt;=500000,"Low",
IF(' BENGALURU HOUSE PRICE'!$G395&lt;=1000000,"Medium",
IF(' BENGALURU HOUSE PRICE'!$G395&lt;=3000000,"High","Luxury")))</f>
        <v>Medium</v>
      </c>
    </row>
    <row r="396" spans="1:8" ht="15.75" customHeight="1" x14ac:dyDescent="0.25">
      <c r="A396" s="19" t="s">
        <v>339</v>
      </c>
      <c r="B396" s="19">
        <v>1460</v>
      </c>
      <c r="C396" s="19">
        <v>2</v>
      </c>
      <c r="D396" s="19">
        <v>1</v>
      </c>
      <c r="E396" s="23" t="s">
        <v>262</v>
      </c>
      <c r="F396" s="19" t="str">
        <f t="shared" si="1"/>
        <v>Medium</v>
      </c>
      <c r="G396" s="19">
        <v>580000</v>
      </c>
      <c r="H396" s="19" t="str">
        <f>IF(' BENGALURU HOUSE PRICE'!$G396&lt;=500000,"Low",
IF(' BENGALURU HOUSE PRICE'!$G396&lt;=1000000,"Medium",
IF(' BENGALURU HOUSE PRICE'!$G396&lt;=3000000,"High","Luxury")))</f>
        <v>Medium</v>
      </c>
    </row>
    <row r="397" spans="1:8" ht="15.75" customHeight="1" x14ac:dyDescent="0.25">
      <c r="A397" s="19" t="s">
        <v>272</v>
      </c>
      <c r="B397" s="19">
        <v>1050</v>
      </c>
      <c r="C397" s="19">
        <v>2</v>
      </c>
      <c r="D397" s="19">
        <v>1</v>
      </c>
      <c r="E397" s="23" t="s">
        <v>262</v>
      </c>
      <c r="F397" s="19" t="str">
        <f t="shared" si="1"/>
        <v>Medium</v>
      </c>
      <c r="G397" s="19">
        <v>320000</v>
      </c>
      <c r="H397" s="19" t="str">
        <f>IF(' BENGALURU HOUSE PRICE'!$G397&lt;=500000,"Low",
IF(' BENGALURU HOUSE PRICE'!$G397&lt;=1000000,"Medium",
IF(' BENGALURU HOUSE PRICE'!$G397&lt;=3000000,"High","Luxury")))</f>
        <v>Low</v>
      </c>
    </row>
    <row r="398" spans="1:8" ht="15.75" customHeight="1" x14ac:dyDescent="0.25">
      <c r="A398" s="19" t="s">
        <v>340</v>
      </c>
      <c r="B398" s="19">
        <v>1260</v>
      </c>
      <c r="C398" s="19">
        <v>2</v>
      </c>
      <c r="D398" s="19">
        <v>2</v>
      </c>
      <c r="E398" s="23" t="s">
        <v>262</v>
      </c>
      <c r="F398" s="19" t="str">
        <f t="shared" si="1"/>
        <v>Medium</v>
      </c>
      <c r="G398" s="19">
        <v>550000</v>
      </c>
      <c r="H398" s="19" t="str">
        <f>IF(' BENGALURU HOUSE PRICE'!$G398&lt;=500000,"Low",
IF(' BENGALURU HOUSE PRICE'!$G398&lt;=1000000,"Medium",
IF(' BENGALURU HOUSE PRICE'!$G398&lt;=3000000,"High","Luxury")))</f>
        <v>Medium</v>
      </c>
    </row>
    <row r="399" spans="1:8" ht="15.75" customHeight="1" x14ac:dyDescent="0.25">
      <c r="A399" s="19" t="s">
        <v>341</v>
      </c>
      <c r="B399" s="19">
        <v>700</v>
      </c>
      <c r="C399" s="19">
        <v>3</v>
      </c>
      <c r="D399" s="19">
        <v>2</v>
      </c>
      <c r="E399" s="23" t="s">
        <v>266</v>
      </c>
      <c r="F399" s="19" t="str">
        <f t="shared" si="1"/>
        <v>Small</v>
      </c>
      <c r="G399" s="19">
        <v>1200000</v>
      </c>
      <c r="H399" s="19" t="str">
        <f>IF(' BENGALURU HOUSE PRICE'!$G399&lt;=500000,"Low",
IF(' BENGALURU HOUSE PRICE'!$G399&lt;=1000000,"Medium",
IF(' BENGALURU HOUSE PRICE'!$G399&lt;=3000000,"High","Luxury")))</f>
        <v>High</v>
      </c>
    </row>
    <row r="400" spans="1:8" ht="15.75" customHeight="1" x14ac:dyDescent="0.25">
      <c r="A400" s="19" t="s">
        <v>120</v>
      </c>
      <c r="B400" s="19">
        <v>1656</v>
      </c>
      <c r="C400" s="19">
        <v>2</v>
      </c>
      <c r="D400" s="19">
        <v>1</v>
      </c>
      <c r="E400" s="23" t="s">
        <v>262</v>
      </c>
      <c r="F400" s="19" t="str">
        <f t="shared" si="1"/>
        <v>Medium</v>
      </c>
      <c r="G400" s="19">
        <v>1200000</v>
      </c>
      <c r="H400" s="19" t="str">
        <f>IF(' BENGALURU HOUSE PRICE'!$G400&lt;=500000,"Low",
IF(' BENGALURU HOUSE PRICE'!$G400&lt;=1000000,"Medium",
IF(' BENGALURU HOUSE PRICE'!$G400&lt;=3000000,"High","Luxury")))</f>
        <v>High</v>
      </c>
    </row>
    <row r="401" spans="1:8" ht="15.75" customHeight="1" x14ac:dyDescent="0.25">
      <c r="A401" s="19" t="s">
        <v>74</v>
      </c>
      <c r="B401" s="19">
        <v>1208</v>
      </c>
      <c r="C401" s="19">
        <v>3</v>
      </c>
      <c r="D401" s="19">
        <v>1</v>
      </c>
      <c r="E401" s="23" t="s">
        <v>27</v>
      </c>
      <c r="F401" s="19" t="str">
        <f t="shared" si="1"/>
        <v>Medium</v>
      </c>
      <c r="G401" s="19">
        <v>450000</v>
      </c>
      <c r="H401" s="19" t="str">
        <f>IF(' BENGALURU HOUSE PRICE'!$G401&lt;=500000,"Low",
IF(' BENGALURU HOUSE PRICE'!$G401&lt;=1000000,"Medium",
IF(' BENGALURU HOUSE PRICE'!$G401&lt;=3000000,"High","Luxury")))</f>
        <v>Low</v>
      </c>
    </row>
    <row r="402" spans="1:8" ht="15.75" customHeight="1" x14ac:dyDescent="0.25">
      <c r="A402" s="19" t="s">
        <v>25</v>
      </c>
      <c r="B402" s="19">
        <v>1910</v>
      </c>
      <c r="C402" s="19">
        <v>3</v>
      </c>
      <c r="D402" s="19">
        <v>2</v>
      </c>
      <c r="E402" s="23" t="s">
        <v>27</v>
      </c>
      <c r="F402" s="19" t="str">
        <f t="shared" si="1"/>
        <v>Medium</v>
      </c>
      <c r="G402" s="19">
        <v>1610000</v>
      </c>
      <c r="H402" s="19" t="str">
        <f>IF(' BENGALURU HOUSE PRICE'!$G402&lt;=500000,"Low",
IF(' BENGALURU HOUSE PRICE'!$G402&lt;=1000000,"Medium",
IF(' BENGALURU HOUSE PRICE'!$G402&lt;=3000000,"High","Luxury")))</f>
        <v>High</v>
      </c>
    </row>
    <row r="403" spans="1:8" ht="15.75" customHeight="1" x14ac:dyDescent="0.25">
      <c r="A403" s="19" t="s">
        <v>25</v>
      </c>
      <c r="B403" s="19">
        <v>3252</v>
      </c>
      <c r="C403" s="19">
        <v>4</v>
      </c>
      <c r="D403" s="19">
        <v>1</v>
      </c>
      <c r="E403" s="23" t="s">
        <v>264</v>
      </c>
      <c r="F403" s="19" t="str">
        <f t="shared" si="1"/>
        <v>Large</v>
      </c>
      <c r="G403" s="19">
        <v>2300000</v>
      </c>
      <c r="H403" s="19" t="str">
        <f>IF(' BENGALURU HOUSE PRICE'!$G403&lt;=500000,"Low",
IF(' BENGALURU HOUSE PRICE'!$G403&lt;=1000000,"Medium",
IF(' BENGALURU HOUSE PRICE'!$G403&lt;=3000000,"High","Luxury")))</f>
        <v>High</v>
      </c>
    </row>
    <row r="404" spans="1:8" ht="15.75" customHeight="1" x14ac:dyDescent="0.25">
      <c r="A404" s="19" t="s">
        <v>57</v>
      </c>
      <c r="B404" s="19">
        <v>1200</v>
      </c>
      <c r="C404" s="19">
        <v>2</v>
      </c>
      <c r="D404" s="19">
        <v>1</v>
      </c>
      <c r="E404" s="23" t="s">
        <v>262</v>
      </c>
      <c r="F404" s="19" t="str">
        <f t="shared" si="1"/>
        <v>Medium</v>
      </c>
      <c r="G404" s="19">
        <v>650000</v>
      </c>
      <c r="H404" s="19" t="str">
        <f>IF(' BENGALURU HOUSE PRICE'!$G404&lt;=500000,"Low",
IF(' BENGALURU HOUSE PRICE'!$G404&lt;=1000000,"Medium",
IF(' BENGALURU HOUSE PRICE'!$G404&lt;=3000000,"High","Luxury")))</f>
        <v>Medium</v>
      </c>
    </row>
    <row r="405" spans="1:8" ht="15.75" customHeight="1" x14ac:dyDescent="0.25">
      <c r="A405" s="19" t="s">
        <v>342</v>
      </c>
      <c r="B405" s="19">
        <v>1200</v>
      </c>
      <c r="C405" s="19">
        <v>4</v>
      </c>
      <c r="D405" s="19">
        <v>1</v>
      </c>
      <c r="E405" s="23" t="s">
        <v>264</v>
      </c>
      <c r="F405" s="19" t="str">
        <f t="shared" si="1"/>
        <v>Medium</v>
      </c>
      <c r="G405" s="19">
        <v>1750000</v>
      </c>
      <c r="H405" s="19" t="str">
        <f>IF(' BENGALURU HOUSE PRICE'!$G405&lt;=500000,"Low",
IF(' BENGALURU HOUSE PRICE'!$G405&lt;=1000000,"Medium",
IF(' BENGALURU HOUSE PRICE'!$G405&lt;=3000000,"High","Luxury")))</f>
        <v>High</v>
      </c>
    </row>
    <row r="406" spans="1:8" ht="15.75" customHeight="1" x14ac:dyDescent="0.25">
      <c r="A406" s="19" t="s">
        <v>15</v>
      </c>
      <c r="B406" s="19">
        <v>1175</v>
      </c>
      <c r="C406" s="19">
        <v>2</v>
      </c>
      <c r="D406" s="19">
        <v>1</v>
      </c>
      <c r="E406" s="23" t="s">
        <v>262</v>
      </c>
      <c r="F406" s="19" t="str">
        <f t="shared" si="1"/>
        <v>Medium</v>
      </c>
      <c r="G406" s="19">
        <v>820000</v>
      </c>
      <c r="H406" s="19" t="str">
        <f>IF(' BENGALURU HOUSE PRICE'!$G406&lt;=500000,"Low",
IF(' BENGALURU HOUSE PRICE'!$G406&lt;=1000000,"Medium",
IF(' BENGALURU HOUSE PRICE'!$G406&lt;=3000000,"High","Luxury")))</f>
        <v>Medium</v>
      </c>
    </row>
    <row r="407" spans="1:8" ht="15.75" customHeight="1" x14ac:dyDescent="0.25">
      <c r="A407" s="19" t="s">
        <v>343</v>
      </c>
      <c r="B407" s="19">
        <v>1000</v>
      </c>
      <c r="C407" s="19">
        <v>2</v>
      </c>
      <c r="D407" s="19">
        <v>0</v>
      </c>
      <c r="E407" s="23" t="s">
        <v>262</v>
      </c>
      <c r="F407" s="19" t="str">
        <f t="shared" si="1"/>
        <v>Small</v>
      </c>
      <c r="G407" s="19">
        <v>1650000</v>
      </c>
      <c r="H407" s="19" t="str">
        <f>IF(' BENGALURU HOUSE PRICE'!$G407&lt;=500000,"Low",
IF(' BENGALURU HOUSE PRICE'!$G407&lt;=1000000,"Medium",
IF(' BENGALURU HOUSE PRICE'!$G407&lt;=3000000,"High","Luxury")))</f>
        <v>High</v>
      </c>
    </row>
    <row r="408" spans="1:8" ht="15.75" customHeight="1" x14ac:dyDescent="0.25">
      <c r="A408" s="19" t="s">
        <v>52</v>
      </c>
      <c r="B408" s="19">
        <v>1200</v>
      </c>
      <c r="C408" s="19">
        <v>2</v>
      </c>
      <c r="D408" s="19">
        <v>0</v>
      </c>
      <c r="E408" s="23" t="s">
        <v>264</v>
      </c>
      <c r="F408" s="19" t="str">
        <f t="shared" si="1"/>
        <v>Medium</v>
      </c>
      <c r="G408" s="19">
        <v>1250000</v>
      </c>
      <c r="H408" s="19" t="str">
        <f>IF(' BENGALURU HOUSE PRICE'!$G408&lt;=500000,"Low",
IF(' BENGALURU HOUSE PRICE'!$G408&lt;=1000000,"Medium",
IF(' BENGALURU HOUSE PRICE'!$G408&lt;=3000000,"High","Luxury")))</f>
        <v>High</v>
      </c>
    </row>
    <row r="409" spans="1:8" ht="15.75" customHeight="1" x14ac:dyDescent="0.25">
      <c r="A409" s="19" t="s">
        <v>197</v>
      </c>
      <c r="B409" s="19">
        <v>2390</v>
      </c>
      <c r="C409" s="19">
        <v>3</v>
      </c>
      <c r="D409" s="19">
        <v>2</v>
      </c>
      <c r="E409" s="23" t="s">
        <v>27</v>
      </c>
      <c r="F409" s="19" t="str">
        <f t="shared" si="1"/>
        <v>Large</v>
      </c>
      <c r="G409" s="19">
        <v>4100000</v>
      </c>
      <c r="H409" s="19" t="str">
        <f>IF(' BENGALURU HOUSE PRICE'!$G409&lt;=500000,"Low",
IF(' BENGALURU HOUSE PRICE'!$G409&lt;=1000000,"Medium",
IF(' BENGALURU HOUSE PRICE'!$G409&lt;=3000000,"High","Luxury")))</f>
        <v>Luxury</v>
      </c>
    </row>
    <row r="410" spans="1:8" ht="15.75" customHeight="1" x14ac:dyDescent="0.25">
      <c r="A410" s="19" t="s">
        <v>197</v>
      </c>
      <c r="B410" s="19">
        <v>12000</v>
      </c>
      <c r="C410" s="19">
        <v>6</v>
      </c>
      <c r="D410" s="19">
        <v>3</v>
      </c>
      <c r="E410" s="23" t="s">
        <v>290</v>
      </c>
      <c r="F410" s="19" t="str">
        <f t="shared" si="1"/>
        <v>Large</v>
      </c>
      <c r="G410" s="19">
        <v>22000000</v>
      </c>
      <c r="H410" s="19" t="str">
        <f>IF(' BENGALURU HOUSE PRICE'!$G410&lt;=500000,"Low",
IF(' BENGALURU HOUSE PRICE'!$G410&lt;=1000000,"Medium",
IF(' BENGALURU HOUSE PRICE'!$G410&lt;=3000000,"High","Luxury")))</f>
        <v>Luxury</v>
      </c>
    </row>
    <row r="411" spans="1:8" ht="15.75" customHeight="1" x14ac:dyDescent="0.25">
      <c r="A411" s="19" t="s">
        <v>344</v>
      </c>
      <c r="B411" s="19">
        <v>550</v>
      </c>
      <c r="C411" s="19">
        <v>1</v>
      </c>
      <c r="D411" s="19">
        <v>1</v>
      </c>
      <c r="E411" s="23" t="s">
        <v>262</v>
      </c>
      <c r="F411" s="19" t="str">
        <f t="shared" si="1"/>
        <v>Small</v>
      </c>
      <c r="G411" s="19">
        <v>620000</v>
      </c>
      <c r="H411" s="19" t="str">
        <f>IF(' BENGALURU HOUSE PRICE'!$G411&lt;=500000,"Low",
IF(' BENGALURU HOUSE PRICE'!$G411&lt;=1000000,"Medium",
IF(' BENGALURU HOUSE PRICE'!$G411&lt;=3000000,"High","Luxury")))</f>
        <v>Medium</v>
      </c>
    </row>
    <row r="412" spans="1:8" ht="15.75" customHeight="1" x14ac:dyDescent="0.25">
      <c r="A412" s="19" t="s">
        <v>148</v>
      </c>
      <c r="B412" s="19">
        <v>1559</v>
      </c>
      <c r="C412" s="19">
        <v>1</v>
      </c>
      <c r="D412" s="19">
        <v>0</v>
      </c>
      <c r="E412" s="23" t="s">
        <v>267</v>
      </c>
      <c r="F412" s="19" t="str">
        <f t="shared" si="1"/>
        <v>Medium</v>
      </c>
      <c r="G412" s="19">
        <v>185000</v>
      </c>
      <c r="H412" s="19" t="str">
        <f>IF(' BENGALURU HOUSE PRICE'!$G412&lt;=500000,"Low",
IF(' BENGALURU HOUSE PRICE'!$G412&lt;=1000000,"Medium",
IF(' BENGALURU HOUSE PRICE'!$G412&lt;=3000000,"High","Luxury")))</f>
        <v>Low</v>
      </c>
    </row>
    <row r="413" spans="1:8" ht="15.75" customHeight="1" x14ac:dyDescent="0.25">
      <c r="A413" s="19" t="s">
        <v>345</v>
      </c>
      <c r="B413" s="19">
        <v>1185</v>
      </c>
      <c r="C413" s="19">
        <v>2</v>
      </c>
      <c r="D413" s="19">
        <v>2</v>
      </c>
      <c r="E413" s="23" t="s">
        <v>262</v>
      </c>
      <c r="F413" s="19" t="str">
        <f t="shared" si="1"/>
        <v>Medium</v>
      </c>
      <c r="G413" s="19">
        <v>380000</v>
      </c>
      <c r="H413" s="19" t="str">
        <f>IF(' BENGALURU HOUSE PRICE'!$G413&lt;=500000,"Low",
IF(' BENGALURU HOUSE PRICE'!$G413&lt;=1000000,"Medium",
IF(' BENGALURU HOUSE PRICE'!$G413&lt;=3000000,"High","Luxury")))</f>
        <v>Low</v>
      </c>
    </row>
    <row r="414" spans="1:8" ht="15.75" customHeight="1" x14ac:dyDescent="0.25">
      <c r="A414" s="19" t="s">
        <v>148</v>
      </c>
      <c r="B414" s="19">
        <v>750</v>
      </c>
      <c r="C414" s="19">
        <v>2</v>
      </c>
      <c r="D414" s="19">
        <v>1</v>
      </c>
      <c r="E414" s="23" t="s">
        <v>262</v>
      </c>
      <c r="F414" s="19" t="str">
        <f t="shared" si="1"/>
        <v>Small</v>
      </c>
      <c r="G414" s="19">
        <v>380000</v>
      </c>
      <c r="H414" s="19" t="str">
        <f>IF(' BENGALURU HOUSE PRICE'!$G414&lt;=500000,"Low",
IF(' BENGALURU HOUSE PRICE'!$G414&lt;=1000000,"Medium",
IF(' BENGALURU HOUSE PRICE'!$G414&lt;=3000000,"High","Luxury")))</f>
        <v>Low</v>
      </c>
    </row>
    <row r="415" spans="1:8" ht="15.75" customHeight="1" x14ac:dyDescent="0.25">
      <c r="A415" s="19" t="s">
        <v>297</v>
      </c>
      <c r="B415" s="19">
        <v>1200</v>
      </c>
      <c r="C415" s="19">
        <v>7</v>
      </c>
      <c r="D415" s="19">
        <v>3</v>
      </c>
      <c r="E415" s="23" t="s">
        <v>266</v>
      </c>
      <c r="F415" s="19" t="str">
        <f t="shared" si="1"/>
        <v>Medium</v>
      </c>
      <c r="G415" s="19">
        <v>2500000</v>
      </c>
      <c r="H415" s="19" t="str">
        <f>IF(' BENGALURU HOUSE PRICE'!$G415&lt;=500000,"Low",
IF(' BENGALURU HOUSE PRICE'!$G415&lt;=1000000,"Medium",
IF(' BENGALURU HOUSE PRICE'!$G415&lt;=3000000,"High","Luxury")))</f>
        <v>High</v>
      </c>
    </row>
    <row r="416" spans="1:8" ht="15.75" customHeight="1" x14ac:dyDescent="0.25">
      <c r="A416" s="19" t="s">
        <v>19</v>
      </c>
      <c r="B416" s="19">
        <v>1550</v>
      </c>
      <c r="C416" s="19">
        <v>3</v>
      </c>
      <c r="D416" s="19">
        <v>3</v>
      </c>
      <c r="E416" s="23" t="s">
        <v>27</v>
      </c>
      <c r="F416" s="19" t="str">
        <f t="shared" si="1"/>
        <v>Medium</v>
      </c>
      <c r="G416" s="19">
        <v>645000</v>
      </c>
      <c r="H416" s="19" t="str">
        <f>IF(' BENGALURU HOUSE PRICE'!$G416&lt;=500000,"Low",
IF(' BENGALURU HOUSE PRICE'!$G416&lt;=1000000,"Medium",
IF(' BENGALURU HOUSE PRICE'!$G416&lt;=3000000,"High","Luxury")))</f>
        <v>Medium</v>
      </c>
    </row>
    <row r="417" spans="1:8" ht="15.75" customHeight="1" x14ac:dyDescent="0.25">
      <c r="A417" s="19" t="s">
        <v>39</v>
      </c>
      <c r="B417" s="19">
        <v>1760</v>
      </c>
      <c r="C417" s="19">
        <v>3</v>
      </c>
      <c r="D417" s="19">
        <v>2</v>
      </c>
      <c r="E417" s="23" t="s">
        <v>27</v>
      </c>
      <c r="F417" s="19" t="str">
        <f t="shared" si="1"/>
        <v>Medium</v>
      </c>
      <c r="G417" s="19">
        <v>880000</v>
      </c>
      <c r="H417" s="19" t="str">
        <f>IF(' BENGALURU HOUSE PRICE'!$G417&lt;=500000,"Low",
IF(' BENGALURU HOUSE PRICE'!$G417&lt;=1000000,"Medium",
IF(' BENGALURU HOUSE PRICE'!$G417&lt;=3000000,"High","Luxury")))</f>
        <v>Medium</v>
      </c>
    </row>
    <row r="418" spans="1:8" ht="15.75" customHeight="1" x14ac:dyDescent="0.25">
      <c r="A418" s="19" t="s">
        <v>63</v>
      </c>
      <c r="B418" s="19">
        <v>1125</v>
      </c>
      <c r="C418" s="19">
        <v>2</v>
      </c>
      <c r="D418" s="19">
        <v>2</v>
      </c>
      <c r="E418" s="23" t="s">
        <v>262</v>
      </c>
      <c r="F418" s="19" t="str">
        <f t="shared" si="1"/>
        <v>Medium</v>
      </c>
      <c r="G418" s="19">
        <v>620000</v>
      </c>
      <c r="H418" s="19" t="str">
        <f>IF(' BENGALURU HOUSE PRICE'!$G418&lt;=500000,"Low",
IF(' BENGALURU HOUSE PRICE'!$G418&lt;=1000000,"Medium",
IF(' BENGALURU HOUSE PRICE'!$G418&lt;=3000000,"High","Luxury")))</f>
        <v>Medium</v>
      </c>
    </row>
    <row r="419" spans="1:8" ht="15.75" customHeight="1" x14ac:dyDescent="0.25">
      <c r="A419" s="19" t="s">
        <v>183</v>
      </c>
      <c r="B419" s="19">
        <v>1350</v>
      </c>
      <c r="C419" s="19">
        <v>3</v>
      </c>
      <c r="D419" s="19">
        <v>2</v>
      </c>
      <c r="E419" s="23" t="s">
        <v>27</v>
      </c>
      <c r="F419" s="19" t="str">
        <f t="shared" si="1"/>
        <v>Medium</v>
      </c>
      <c r="G419" s="19">
        <v>1500000</v>
      </c>
      <c r="H419" s="19" t="str">
        <f>IF(' BENGALURU HOUSE PRICE'!$G419&lt;=500000,"Low",
IF(' BENGALURU HOUSE PRICE'!$G419&lt;=1000000,"Medium",
IF(' BENGALURU HOUSE PRICE'!$G419&lt;=3000000,"High","Luxury")))</f>
        <v>High</v>
      </c>
    </row>
    <row r="420" spans="1:8" ht="15.75" customHeight="1" x14ac:dyDescent="0.25">
      <c r="A420" s="19" t="s">
        <v>293</v>
      </c>
      <c r="B420" s="19">
        <v>1000</v>
      </c>
      <c r="C420" s="19">
        <v>2</v>
      </c>
      <c r="D420" s="19">
        <v>1</v>
      </c>
      <c r="E420" s="23" t="s">
        <v>262</v>
      </c>
      <c r="F420" s="19" t="str">
        <f t="shared" si="1"/>
        <v>Small</v>
      </c>
      <c r="G420" s="19">
        <v>550000</v>
      </c>
      <c r="H420" s="19" t="str">
        <f>IF(' BENGALURU HOUSE PRICE'!$G420&lt;=500000,"Low",
IF(' BENGALURU HOUSE PRICE'!$G420&lt;=1000000,"Medium",
IF(' BENGALURU HOUSE PRICE'!$G420&lt;=3000000,"High","Luxury")))</f>
        <v>Medium</v>
      </c>
    </row>
    <row r="421" spans="1:8" ht="15.75" customHeight="1" x14ac:dyDescent="0.25">
      <c r="A421" s="19" t="s">
        <v>67</v>
      </c>
      <c r="B421" s="19">
        <v>1090</v>
      </c>
      <c r="C421" s="19">
        <v>2</v>
      </c>
      <c r="D421" s="19">
        <v>2</v>
      </c>
      <c r="E421" s="23" t="s">
        <v>262</v>
      </c>
      <c r="F421" s="19" t="str">
        <f t="shared" si="1"/>
        <v>Medium</v>
      </c>
      <c r="G421" s="19">
        <v>314800</v>
      </c>
      <c r="H421" s="19" t="str">
        <f>IF(' BENGALURU HOUSE PRICE'!$G421&lt;=500000,"Low",
IF(' BENGALURU HOUSE PRICE'!$G421&lt;=1000000,"Medium",
IF(' BENGALURU HOUSE PRICE'!$G421&lt;=3000000,"High","Luxury")))</f>
        <v>Low</v>
      </c>
    </row>
    <row r="422" spans="1:8" ht="15.75" customHeight="1" x14ac:dyDescent="0.25">
      <c r="A422" s="19" t="s">
        <v>229</v>
      </c>
      <c r="B422" s="19">
        <v>1200</v>
      </c>
      <c r="C422" s="19">
        <v>2</v>
      </c>
      <c r="D422" s="19">
        <v>0</v>
      </c>
      <c r="E422" s="23" t="s">
        <v>262</v>
      </c>
      <c r="F422" s="19" t="str">
        <f t="shared" si="1"/>
        <v>Medium</v>
      </c>
      <c r="G422" s="19">
        <v>600000</v>
      </c>
      <c r="H422" s="19" t="str">
        <f>IF(' BENGALURU HOUSE PRICE'!$G422&lt;=500000,"Low",
IF(' BENGALURU HOUSE PRICE'!$G422&lt;=1000000,"Medium",
IF(' BENGALURU HOUSE PRICE'!$G422&lt;=3000000,"High","Luxury")))</f>
        <v>Medium</v>
      </c>
    </row>
    <row r="423" spans="1:8" ht="15.75" customHeight="1" x14ac:dyDescent="0.25">
      <c r="A423" s="19" t="s">
        <v>69</v>
      </c>
      <c r="B423" s="19">
        <v>1991</v>
      </c>
      <c r="C423" s="19">
        <v>4</v>
      </c>
      <c r="D423" s="19">
        <v>2</v>
      </c>
      <c r="E423" s="23" t="s">
        <v>27</v>
      </c>
      <c r="F423" s="19" t="str">
        <f t="shared" si="1"/>
        <v>Medium</v>
      </c>
      <c r="G423" s="19">
        <v>1030000</v>
      </c>
      <c r="H423" s="19" t="str">
        <f>IF(' BENGALURU HOUSE PRICE'!$G423&lt;=500000,"Low",
IF(' BENGALURU HOUSE PRICE'!$G423&lt;=1000000,"Medium",
IF(' BENGALURU HOUSE PRICE'!$G423&lt;=3000000,"High","Luxury")))</f>
        <v>High</v>
      </c>
    </row>
    <row r="424" spans="1:8" ht="15.75" customHeight="1" x14ac:dyDescent="0.25">
      <c r="A424" s="19" t="s">
        <v>66</v>
      </c>
      <c r="B424" s="19">
        <v>1060</v>
      </c>
      <c r="C424" s="19">
        <v>2</v>
      </c>
      <c r="D424" s="19">
        <v>1</v>
      </c>
      <c r="E424" s="23" t="s">
        <v>262</v>
      </c>
      <c r="F424" s="19" t="str">
        <f t="shared" si="1"/>
        <v>Medium</v>
      </c>
      <c r="G424" s="19">
        <v>265000</v>
      </c>
      <c r="H424" s="19" t="str">
        <f>IF(' BENGALURU HOUSE PRICE'!$G424&lt;=500000,"Low",
IF(' BENGALURU HOUSE PRICE'!$G424&lt;=1000000,"Medium",
IF(' BENGALURU HOUSE PRICE'!$G424&lt;=3000000,"High","Luxury")))</f>
        <v>Low</v>
      </c>
    </row>
    <row r="425" spans="1:8" ht="15.75" customHeight="1" x14ac:dyDescent="0.25">
      <c r="A425" s="19" t="s">
        <v>36</v>
      </c>
      <c r="B425" s="19">
        <v>1105</v>
      </c>
      <c r="C425" s="19">
        <v>2</v>
      </c>
      <c r="D425" s="19">
        <v>1</v>
      </c>
      <c r="E425" s="23" t="s">
        <v>262</v>
      </c>
      <c r="F425" s="19" t="str">
        <f t="shared" si="1"/>
        <v>Medium</v>
      </c>
      <c r="G425" s="19">
        <v>750000</v>
      </c>
      <c r="H425" s="19" t="str">
        <f>IF(' BENGALURU HOUSE PRICE'!$G425&lt;=500000,"Low",
IF(' BENGALURU HOUSE PRICE'!$G425&lt;=1000000,"Medium",
IF(' BENGALURU HOUSE PRICE'!$G425&lt;=3000000,"High","Luxury")))</f>
        <v>Medium</v>
      </c>
    </row>
    <row r="426" spans="1:8" ht="15.75" customHeight="1" x14ac:dyDescent="0.25">
      <c r="A426" s="19" t="s">
        <v>113</v>
      </c>
      <c r="B426" s="19">
        <v>985</v>
      </c>
      <c r="C426" s="19">
        <v>2</v>
      </c>
      <c r="D426" s="19">
        <v>2</v>
      </c>
      <c r="E426" s="23" t="s">
        <v>262</v>
      </c>
      <c r="F426" s="19" t="str">
        <f t="shared" si="1"/>
        <v>Small</v>
      </c>
      <c r="G426" s="19">
        <v>670000</v>
      </c>
      <c r="H426" s="19" t="str">
        <f>IF(' BENGALURU HOUSE PRICE'!$G426&lt;=500000,"Low",
IF(' BENGALURU HOUSE PRICE'!$G426&lt;=1000000,"Medium",
IF(' BENGALURU HOUSE PRICE'!$G426&lt;=3000000,"High","Luxury")))</f>
        <v>Medium</v>
      </c>
    </row>
    <row r="427" spans="1:8" ht="15.75" customHeight="1" x14ac:dyDescent="0.25">
      <c r="A427" s="19" t="s">
        <v>74</v>
      </c>
      <c r="B427" s="19">
        <v>1533</v>
      </c>
      <c r="C427" s="19">
        <v>5</v>
      </c>
      <c r="D427" s="19">
        <v>3</v>
      </c>
      <c r="E427" s="23" t="s">
        <v>266</v>
      </c>
      <c r="F427" s="19" t="str">
        <f t="shared" si="1"/>
        <v>Medium</v>
      </c>
      <c r="G427" s="19">
        <v>850000</v>
      </c>
      <c r="H427" s="19" t="str">
        <f>IF(' BENGALURU HOUSE PRICE'!$G427&lt;=500000,"Low",
IF(' BENGALURU HOUSE PRICE'!$G427&lt;=1000000,"Medium",
IF(' BENGALURU HOUSE PRICE'!$G427&lt;=3000000,"High","Luxury")))</f>
        <v>Medium</v>
      </c>
    </row>
    <row r="428" spans="1:8" ht="15.75" customHeight="1" x14ac:dyDescent="0.25">
      <c r="A428" s="19" t="s">
        <v>47</v>
      </c>
      <c r="B428" s="19">
        <v>1590</v>
      </c>
      <c r="C428" s="19">
        <v>3</v>
      </c>
      <c r="D428" s="19">
        <v>2</v>
      </c>
      <c r="E428" s="23" t="s">
        <v>27</v>
      </c>
      <c r="F428" s="19" t="str">
        <f t="shared" si="1"/>
        <v>Medium</v>
      </c>
      <c r="G428" s="19">
        <v>790000</v>
      </c>
      <c r="H428" s="19" t="str">
        <f>IF(' BENGALURU HOUSE PRICE'!$G428&lt;=500000,"Low",
IF(' BENGALURU HOUSE PRICE'!$G428&lt;=1000000,"Medium",
IF(' BENGALURU HOUSE PRICE'!$G428&lt;=3000000,"High","Luxury")))</f>
        <v>Medium</v>
      </c>
    </row>
    <row r="429" spans="1:8" ht="15.75" customHeight="1" x14ac:dyDescent="0.25">
      <c r="A429" s="19" t="s">
        <v>83</v>
      </c>
      <c r="B429" s="19">
        <v>1120</v>
      </c>
      <c r="C429" s="19">
        <v>2</v>
      </c>
      <c r="D429" s="19">
        <v>2</v>
      </c>
      <c r="E429" s="23" t="s">
        <v>262</v>
      </c>
      <c r="F429" s="19" t="str">
        <f t="shared" si="1"/>
        <v>Medium</v>
      </c>
      <c r="G429" s="19">
        <v>550000</v>
      </c>
      <c r="H429" s="19" t="str">
        <f>IF(' BENGALURU HOUSE PRICE'!$G429&lt;=500000,"Low",
IF(' BENGALURU HOUSE PRICE'!$G429&lt;=1000000,"Medium",
IF(' BENGALURU HOUSE PRICE'!$G429&lt;=3000000,"High","Luxury")))</f>
        <v>Medium</v>
      </c>
    </row>
    <row r="430" spans="1:8" ht="15.75" customHeight="1" x14ac:dyDescent="0.25">
      <c r="A430" s="19" t="s">
        <v>346</v>
      </c>
      <c r="B430" s="19">
        <v>1069</v>
      </c>
      <c r="C430" s="19">
        <v>2</v>
      </c>
      <c r="D430" s="19">
        <v>1</v>
      </c>
      <c r="E430" s="23" t="s">
        <v>262</v>
      </c>
      <c r="F430" s="19" t="str">
        <f t="shared" si="1"/>
        <v>Medium</v>
      </c>
      <c r="G430" s="19">
        <v>550000</v>
      </c>
      <c r="H430" s="19" t="str">
        <f>IF(' BENGALURU HOUSE PRICE'!$G430&lt;=500000,"Low",
IF(' BENGALURU HOUSE PRICE'!$G430&lt;=1000000,"Medium",
IF(' BENGALURU HOUSE PRICE'!$G430&lt;=3000000,"High","Luxury")))</f>
        <v>Medium</v>
      </c>
    </row>
    <row r="431" spans="1:8" ht="15.75" customHeight="1" x14ac:dyDescent="0.25">
      <c r="A431" s="19" t="s">
        <v>20</v>
      </c>
      <c r="B431" s="19">
        <v>1933</v>
      </c>
      <c r="C431" s="19">
        <v>3</v>
      </c>
      <c r="D431" s="19">
        <v>2</v>
      </c>
      <c r="E431" s="23" t="s">
        <v>27</v>
      </c>
      <c r="F431" s="19" t="str">
        <f t="shared" si="1"/>
        <v>Medium</v>
      </c>
      <c r="G431" s="19">
        <v>1400000</v>
      </c>
      <c r="H431" s="19" t="str">
        <f>IF(' BENGALURU HOUSE PRICE'!$G431&lt;=500000,"Low",
IF(' BENGALURU HOUSE PRICE'!$G431&lt;=1000000,"Medium",
IF(' BENGALURU HOUSE PRICE'!$G431&lt;=3000000,"High","Luxury")))</f>
        <v>High</v>
      </c>
    </row>
    <row r="432" spans="1:8" ht="15.75" customHeight="1" x14ac:dyDescent="0.25">
      <c r="A432" s="19" t="s">
        <v>120</v>
      </c>
      <c r="B432" s="19">
        <v>1194</v>
      </c>
      <c r="C432" s="19">
        <v>2</v>
      </c>
      <c r="D432" s="19">
        <v>0</v>
      </c>
      <c r="E432" s="23" t="s">
        <v>262</v>
      </c>
      <c r="F432" s="19" t="str">
        <f t="shared" si="1"/>
        <v>Medium</v>
      </c>
      <c r="G432" s="19">
        <v>690000</v>
      </c>
      <c r="H432" s="19" t="str">
        <f>IF(' BENGALURU HOUSE PRICE'!$G432&lt;=500000,"Low",
IF(' BENGALURU HOUSE PRICE'!$G432&lt;=1000000,"Medium",
IF(' BENGALURU HOUSE PRICE'!$G432&lt;=3000000,"High","Luxury")))</f>
        <v>Medium</v>
      </c>
    </row>
    <row r="433" spans="1:8" ht="15.75" customHeight="1" x14ac:dyDescent="0.25">
      <c r="A433" s="19" t="s">
        <v>68</v>
      </c>
      <c r="B433" s="19">
        <v>1150</v>
      </c>
      <c r="C433" s="19">
        <v>2</v>
      </c>
      <c r="D433" s="19">
        <v>3</v>
      </c>
      <c r="E433" s="23" t="s">
        <v>262</v>
      </c>
      <c r="F433" s="19" t="str">
        <f t="shared" si="1"/>
        <v>Medium</v>
      </c>
      <c r="G433" s="19">
        <v>690000</v>
      </c>
      <c r="H433" s="19" t="str">
        <f>IF(' BENGALURU HOUSE PRICE'!$G433&lt;=500000,"Low",
IF(' BENGALURU HOUSE PRICE'!$G433&lt;=1000000,"Medium",
IF(' BENGALURU HOUSE PRICE'!$G433&lt;=3000000,"High","Luxury")))</f>
        <v>Medium</v>
      </c>
    </row>
    <row r="434" spans="1:8" ht="15.75" customHeight="1" x14ac:dyDescent="0.25">
      <c r="A434" s="19" t="s">
        <v>347</v>
      </c>
      <c r="B434" s="19">
        <v>1240</v>
      </c>
      <c r="C434" s="19">
        <v>2</v>
      </c>
      <c r="D434" s="19">
        <v>2</v>
      </c>
      <c r="E434" s="23" t="s">
        <v>262</v>
      </c>
      <c r="F434" s="19" t="str">
        <f t="shared" si="1"/>
        <v>Medium</v>
      </c>
      <c r="G434" s="19">
        <v>471200</v>
      </c>
      <c r="H434" s="19" t="str">
        <f>IF(' BENGALURU HOUSE PRICE'!$G434&lt;=500000,"Low",
IF(' BENGALURU HOUSE PRICE'!$G434&lt;=1000000,"Medium",
IF(' BENGALURU HOUSE PRICE'!$G434&lt;=3000000,"High","Luxury")))</f>
        <v>Low</v>
      </c>
    </row>
    <row r="435" spans="1:8" ht="15.75" customHeight="1" x14ac:dyDescent="0.25">
      <c r="A435" s="19" t="s">
        <v>21</v>
      </c>
      <c r="B435" s="19">
        <v>1419</v>
      </c>
      <c r="C435" s="19">
        <v>2</v>
      </c>
      <c r="D435" s="19">
        <v>2</v>
      </c>
      <c r="E435" s="23" t="s">
        <v>262</v>
      </c>
      <c r="F435" s="19" t="str">
        <f t="shared" si="1"/>
        <v>Medium</v>
      </c>
      <c r="G435" s="19">
        <v>481000</v>
      </c>
      <c r="H435" s="19" t="str">
        <f>IF(' BENGALURU HOUSE PRICE'!$G435&lt;=500000,"Low",
IF(' BENGALURU HOUSE PRICE'!$G435&lt;=1000000,"Medium",
IF(' BENGALURU HOUSE PRICE'!$G435&lt;=3000000,"High","Luxury")))</f>
        <v>Low</v>
      </c>
    </row>
    <row r="436" spans="1:8" ht="15.75" customHeight="1" x14ac:dyDescent="0.25">
      <c r="A436" s="19" t="s">
        <v>15</v>
      </c>
      <c r="B436" s="19">
        <v>1200</v>
      </c>
      <c r="C436" s="19">
        <v>8</v>
      </c>
      <c r="D436" s="19">
        <v>2</v>
      </c>
      <c r="E436" s="23" t="s">
        <v>271</v>
      </c>
      <c r="F436" s="19" t="str">
        <f t="shared" si="1"/>
        <v>Medium</v>
      </c>
      <c r="G436" s="19">
        <v>2500000</v>
      </c>
      <c r="H436" s="19" t="str">
        <f>IF(' BENGALURU HOUSE PRICE'!$G436&lt;=500000,"Low",
IF(' BENGALURU HOUSE PRICE'!$G436&lt;=1000000,"Medium",
IF(' BENGALURU HOUSE PRICE'!$G436&lt;=3000000,"High","Luxury")))</f>
        <v>High</v>
      </c>
    </row>
    <row r="437" spans="1:8" ht="15.75" customHeight="1" x14ac:dyDescent="0.25">
      <c r="A437" s="19" t="s">
        <v>202</v>
      </c>
      <c r="B437" s="19">
        <v>2150</v>
      </c>
      <c r="C437" s="19">
        <v>4</v>
      </c>
      <c r="D437" s="19">
        <v>2</v>
      </c>
      <c r="E437" s="23" t="s">
        <v>27</v>
      </c>
      <c r="F437" s="19" t="str">
        <f t="shared" si="1"/>
        <v>Large</v>
      </c>
      <c r="G437" s="19">
        <v>2400000</v>
      </c>
      <c r="H437" s="19" t="str">
        <f>IF(' BENGALURU HOUSE PRICE'!$G437&lt;=500000,"Low",
IF(' BENGALURU HOUSE PRICE'!$G437&lt;=1000000,"Medium",
IF(' BENGALURU HOUSE PRICE'!$G437&lt;=3000000,"High","Luxury")))</f>
        <v>High</v>
      </c>
    </row>
    <row r="438" spans="1:8" ht="15.75" customHeight="1" x14ac:dyDescent="0.25">
      <c r="A438" s="19" t="s">
        <v>221</v>
      </c>
      <c r="B438" s="19">
        <v>1450</v>
      </c>
      <c r="C438" s="19">
        <v>3</v>
      </c>
      <c r="D438" s="19">
        <v>2</v>
      </c>
      <c r="E438" s="23" t="s">
        <v>27</v>
      </c>
      <c r="F438" s="19" t="str">
        <f t="shared" si="1"/>
        <v>Medium</v>
      </c>
      <c r="G438" s="19">
        <v>550000</v>
      </c>
      <c r="H438" s="19" t="str">
        <f>IF(' BENGALURU HOUSE PRICE'!$G438&lt;=500000,"Low",
IF(' BENGALURU HOUSE PRICE'!$G438&lt;=1000000,"Medium",
IF(' BENGALURU HOUSE PRICE'!$G438&lt;=3000000,"High","Luxury")))</f>
        <v>Medium</v>
      </c>
    </row>
    <row r="439" spans="1:8" ht="15.75" customHeight="1" x14ac:dyDescent="0.25">
      <c r="A439" s="19" t="s">
        <v>236</v>
      </c>
      <c r="B439" s="19">
        <v>1630</v>
      </c>
      <c r="C439" s="19">
        <v>3</v>
      </c>
      <c r="D439" s="19">
        <v>2</v>
      </c>
      <c r="E439" s="23" t="s">
        <v>27</v>
      </c>
      <c r="F439" s="19" t="str">
        <f t="shared" si="1"/>
        <v>Medium</v>
      </c>
      <c r="G439" s="19">
        <v>682900</v>
      </c>
      <c r="H439" s="19" t="str">
        <f>IF(' BENGALURU HOUSE PRICE'!$G439&lt;=500000,"Low",
IF(' BENGALURU HOUSE PRICE'!$G439&lt;=1000000,"Medium",
IF(' BENGALURU HOUSE PRICE'!$G439&lt;=3000000,"High","Luxury")))</f>
        <v>Medium</v>
      </c>
    </row>
    <row r="440" spans="1:8" ht="15.75" customHeight="1" x14ac:dyDescent="0.25">
      <c r="A440" s="19" t="s">
        <v>280</v>
      </c>
      <c r="B440" s="19">
        <v>708</v>
      </c>
      <c r="C440" s="19">
        <v>1</v>
      </c>
      <c r="D440" s="19">
        <v>1</v>
      </c>
      <c r="E440" s="23" t="s">
        <v>262</v>
      </c>
      <c r="F440" s="19" t="str">
        <f t="shared" si="1"/>
        <v>Small</v>
      </c>
      <c r="G440" s="19">
        <v>400000</v>
      </c>
      <c r="H440" s="19" t="str">
        <f>IF(' BENGALURU HOUSE PRICE'!$G440&lt;=500000,"Low",
IF(' BENGALURU HOUSE PRICE'!$G440&lt;=1000000,"Medium",
IF(' BENGALURU HOUSE PRICE'!$G440&lt;=3000000,"High","Luxury")))</f>
        <v>Low</v>
      </c>
    </row>
    <row r="441" spans="1:8" ht="15.75" customHeight="1" x14ac:dyDescent="0.25">
      <c r="A441" s="19" t="s">
        <v>145</v>
      </c>
      <c r="B441" s="19">
        <v>1000</v>
      </c>
      <c r="C441" s="19">
        <v>4</v>
      </c>
      <c r="D441" s="19">
        <v>3</v>
      </c>
      <c r="E441" s="23" t="s">
        <v>27</v>
      </c>
      <c r="F441" s="19" t="str">
        <f t="shared" si="1"/>
        <v>Small</v>
      </c>
      <c r="G441" s="19">
        <v>1100000</v>
      </c>
      <c r="H441" s="19" t="str">
        <f>IF(' BENGALURU HOUSE PRICE'!$G441&lt;=500000,"Low",
IF(' BENGALURU HOUSE PRICE'!$G441&lt;=1000000,"Medium",
IF(' BENGALURU HOUSE PRICE'!$G441&lt;=3000000,"High","Luxury")))</f>
        <v>High</v>
      </c>
    </row>
    <row r="442" spans="1:8" ht="15.75" customHeight="1" x14ac:dyDescent="0.25">
      <c r="A442" s="19" t="s">
        <v>25</v>
      </c>
      <c r="B442" s="19">
        <v>11890</v>
      </c>
      <c r="C442" s="19">
        <v>4</v>
      </c>
      <c r="D442" s="19">
        <v>3</v>
      </c>
      <c r="E442" s="23" t="s">
        <v>264</v>
      </c>
      <c r="F442" s="19" t="str">
        <f t="shared" si="1"/>
        <v>Large</v>
      </c>
      <c r="G442" s="19">
        <v>7000000</v>
      </c>
      <c r="H442" s="19" t="str">
        <f>IF(' BENGALURU HOUSE PRICE'!$G442&lt;=500000,"Low",
IF(' BENGALURU HOUSE PRICE'!$G442&lt;=1000000,"Medium",
IF(' BENGALURU HOUSE PRICE'!$G442&lt;=3000000,"High","Luxury")))</f>
        <v>Luxury</v>
      </c>
    </row>
    <row r="443" spans="1:8" ht="15.75" customHeight="1" x14ac:dyDescent="0.25">
      <c r="A443" s="19" t="s">
        <v>59</v>
      </c>
      <c r="B443" s="19">
        <v>1250</v>
      </c>
      <c r="C443" s="19">
        <v>2</v>
      </c>
      <c r="D443" s="19">
        <v>1</v>
      </c>
      <c r="E443" s="23" t="s">
        <v>262</v>
      </c>
      <c r="F443" s="19" t="str">
        <f t="shared" si="1"/>
        <v>Medium</v>
      </c>
      <c r="G443" s="19">
        <v>760000</v>
      </c>
      <c r="H443" s="19" t="str">
        <f>IF(' BENGALURU HOUSE PRICE'!$G443&lt;=500000,"Low",
IF(' BENGALURU HOUSE PRICE'!$G443&lt;=1000000,"Medium",
IF(' BENGALURU HOUSE PRICE'!$G443&lt;=3000000,"High","Luxury")))</f>
        <v>Medium</v>
      </c>
    </row>
    <row r="444" spans="1:8" ht="15.75" customHeight="1" x14ac:dyDescent="0.25">
      <c r="A444" s="19" t="s">
        <v>15</v>
      </c>
      <c r="B444" s="19">
        <v>1400</v>
      </c>
      <c r="C444" s="19">
        <v>2</v>
      </c>
      <c r="D444" s="19">
        <v>1</v>
      </c>
      <c r="E444" s="23" t="s">
        <v>27</v>
      </c>
      <c r="F444" s="19" t="str">
        <f t="shared" si="1"/>
        <v>Medium</v>
      </c>
      <c r="G444" s="19">
        <v>950000</v>
      </c>
      <c r="H444" s="19" t="str">
        <f>IF(' BENGALURU HOUSE PRICE'!$G444&lt;=500000,"Low",
IF(' BENGALURU HOUSE PRICE'!$G444&lt;=1000000,"Medium",
IF(' BENGALURU HOUSE PRICE'!$G444&lt;=3000000,"High","Luxury")))</f>
        <v>Medium</v>
      </c>
    </row>
    <row r="445" spans="1:8" ht="15.75" customHeight="1" x14ac:dyDescent="0.25">
      <c r="A445" s="19" t="s">
        <v>22</v>
      </c>
      <c r="B445" s="19">
        <v>1670</v>
      </c>
      <c r="C445" s="19">
        <v>2</v>
      </c>
      <c r="D445" s="19">
        <v>3</v>
      </c>
      <c r="E445" s="23" t="s">
        <v>27</v>
      </c>
      <c r="F445" s="19" t="str">
        <f t="shared" si="1"/>
        <v>Medium</v>
      </c>
      <c r="G445" s="19">
        <v>570000</v>
      </c>
      <c r="H445" s="19" t="str">
        <f>IF(' BENGALURU HOUSE PRICE'!$G445&lt;=500000,"Low",
IF(' BENGALURU HOUSE PRICE'!$G445&lt;=1000000,"Medium",
IF(' BENGALURU HOUSE PRICE'!$G445&lt;=3000000,"High","Luxury")))</f>
        <v>Medium</v>
      </c>
    </row>
    <row r="446" spans="1:8" ht="15.75" customHeight="1" x14ac:dyDescent="0.25">
      <c r="A446" s="19" t="s">
        <v>41</v>
      </c>
      <c r="B446" s="19">
        <v>1750</v>
      </c>
      <c r="C446" s="19">
        <v>3</v>
      </c>
      <c r="D446" s="19">
        <v>2</v>
      </c>
      <c r="E446" s="23" t="s">
        <v>27</v>
      </c>
      <c r="F446" s="19" t="str">
        <f t="shared" si="1"/>
        <v>Medium</v>
      </c>
      <c r="G446" s="19">
        <v>1000000</v>
      </c>
      <c r="H446" s="19" t="str">
        <f>IF(' BENGALURU HOUSE PRICE'!$G446&lt;=500000,"Low",
IF(' BENGALURU HOUSE PRICE'!$G446&lt;=1000000,"Medium",
IF(' BENGALURU HOUSE PRICE'!$G446&lt;=3000000,"High","Luxury")))</f>
        <v>Medium</v>
      </c>
    </row>
    <row r="447" spans="1:8" ht="15.75" customHeight="1" x14ac:dyDescent="0.25">
      <c r="A447" s="19" t="s">
        <v>348</v>
      </c>
      <c r="B447" s="19">
        <v>1404</v>
      </c>
      <c r="C447" s="19">
        <v>2</v>
      </c>
      <c r="D447" s="19">
        <v>1</v>
      </c>
      <c r="E447" s="23" t="s">
        <v>262</v>
      </c>
      <c r="F447" s="19" t="str">
        <f t="shared" si="1"/>
        <v>Medium</v>
      </c>
      <c r="G447" s="19">
        <v>710000</v>
      </c>
      <c r="H447" s="19" t="str">
        <f>IF(' BENGALURU HOUSE PRICE'!$G447&lt;=500000,"Low",
IF(' BENGALURU HOUSE PRICE'!$G447&lt;=1000000,"Medium",
IF(' BENGALURU HOUSE PRICE'!$G447&lt;=3000000,"High","Luxury")))</f>
        <v>Medium</v>
      </c>
    </row>
    <row r="448" spans="1:8" ht="15.75" customHeight="1" x14ac:dyDescent="0.25">
      <c r="A448" s="19" t="s">
        <v>113</v>
      </c>
      <c r="B448" s="19">
        <v>1715</v>
      </c>
      <c r="C448" s="19">
        <v>2</v>
      </c>
      <c r="D448" s="19">
        <v>2</v>
      </c>
      <c r="E448" s="23" t="s">
        <v>27</v>
      </c>
      <c r="F448" s="19" t="str">
        <f t="shared" si="1"/>
        <v>Medium</v>
      </c>
      <c r="G448" s="19">
        <v>950000</v>
      </c>
      <c r="H448" s="19" t="str">
        <f>IF(' BENGALURU HOUSE PRICE'!$G448&lt;=500000,"Low",
IF(' BENGALURU HOUSE PRICE'!$G448&lt;=1000000,"Medium",
IF(' BENGALURU HOUSE PRICE'!$G448&lt;=3000000,"High","Luxury")))</f>
        <v>Medium</v>
      </c>
    </row>
    <row r="449" spans="1:8" ht="15.75" customHeight="1" x14ac:dyDescent="0.25">
      <c r="A449" s="19" t="s">
        <v>16</v>
      </c>
      <c r="B449" s="19">
        <v>630</v>
      </c>
      <c r="C449" s="19">
        <v>1</v>
      </c>
      <c r="D449" s="19">
        <v>1</v>
      </c>
      <c r="E449" s="23" t="s">
        <v>267</v>
      </c>
      <c r="F449" s="19" t="str">
        <f t="shared" si="1"/>
        <v>Small</v>
      </c>
      <c r="G449" s="19">
        <v>346500</v>
      </c>
      <c r="H449" s="19" t="str">
        <f>IF(' BENGALURU HOUSE PRICE'!$G449&lt;=500000,"Low",
IF(' BENGALURU HOUSE PRICE'!$G449&lt;=1000000,"Medium",
IF(' BENGALURU HOUSE PRICE'!$G449&lt;=3000000,"High","Luxury")))</f>
        <v>Low</v>
      </c>
    </row>
    <row r="450" spans="1:8" ht="15.75" customHeight="1" x14ac:dyDescent="0.25">
      <c r="A450" s="19" t="s">
        <v>108</v>
      </c>
      <c r="B450" s="19">
        <v>1752</v>
      </c>
      <c r="C450" s="19">
        <v>3</v>
      </c>
      <c r="D450" s="19">
        <v>2</v>
      </c>
      <c r="E450" s="23" t="s">
        <v>27</v>
      </c>
      <c r="F450" s="19" t="str">
        <f t="shared" si="1"/>
        <v>Medium</v>
      </c>
      <c r="G450" s="19">
        <v>1350000</v>
      </c>
      <c r="H450" s="19" t="str">
        <f>IF(' BENGALURU HOUSE PRICE'!$G450&lt;=500000,"Low",
IF(' BENGALURU HOUSE PRICE'!$G450&lt;=1000000,"Medium",
IF(' BENGALURU HOUSE PRICE'!$G450&lt;=3000000,"High","Luxury")))</f>
        <v>High</v>
      </c>
    </row>
    <row r="451" spans="1:8" ht="15.75" customHeight="1" x14ac:dyDescent="0.25">
      <c r="A451" s="19" t="s">
        <v>123</v>
      </c>
      <c r="B451" s="19">
        <v>1650</v>
      </c>
      <c r="C451" s="19">
        <v>3</v>
      </c>
      <c r="D451" s="19">
        <v>2</v>
      </c>
      <c r="E451" s="23" t="s">
        <v>27</v>
      </c>
      <c r="F451" s="19" t="str">
        <f t="shared" si="1"/>
        <v>Medium</v>
      </c>
      <c r="G451" s="19">
        <v>780000</v>
      </c>
      <c r="H451" s="19" t="str">
        <f>IF(' BENGALURU HOUSE PRICE'!$G451&lt;=500000,"Low",
IF(' BENGALURU HOUSE PRICE'!$G451&lt;=1000000,"Medium",
IF(' BENGALURU HOUSE PRICE'!$G451&lt;=3000000,"High","Luxury")))</f>
        <v>Medium</v>
      </c>
    </row>
    <row r="452" spans="1:8" ht="15.75" customHeight="1" x14ac:dyDescent="0.25">
      <c r="A452" s="19" t="s">
        <v>21</v>
      </c>
      <c r="B452" s="19">
        <v>1295</v>
      </c>
      <c r="C452" s="19">
        <v>2</v>
      </c>
      <c r="D452" s="19">
        <v>1</v>
      </c>
      <c r="E452" s="23" t="s">
        <v>262</v>
      </c>
      <c r="F452" s="19" t="str">
        <f t="shared" si="1"/>
        <v>Medium</v>
      </c>
      <c r="G452" s="19">
        <v>554700</v>
      </c>
      <c r="H452" s="19" t="str">
        <f>IF(' BENGALURU HOUSE PRICE'!$G452&lt;=500000,"Low",
IF(' BENGALURU HOUSE PRICE'!$G452&lt;=1000000,"Medium",
IF(' BENGALURU HOUSE PRICE'!$G452&lt;=3000000,"High","Luxury")))</f>
        <v>Medium</v>
      </c>
    </row>
    <row r="453" spans="1:8" ht="15.75" customHeight="1" x14ac:dyDescent="0.25">
      <c r="A453" s="19" t="s">
        <v>99</v>
      </c>
      <c r="B453" s="19">
        <v>1800</v>
      </c>
      <c r="C453" s="19">
        <v>3</v>
      </c>
      <c r="D453" s="19">
        <v>2</v>
      </c>
      <c r="E453" s="23" t="s">
        <v>27</v>
      </c>
      <c r="F453" s="19" t="str">
        <f t="shared" si="1"/>
        <v>Medium</v>
      </c>
      <c r="G453" s="19">
        <v>2520000</v>
      </c>
      <c r="H453" s="19" t="str">
        <f>IF(' BENGALURU HOUSE PRICE'!$G453&lt;=500000,"Low",
IF(' BENGALURU HOUSE PRICE'!$G453&lt;=1000000,"Medium",
IF(' BENGALURU HOUSE PRICE'!$G453&lt;=3000000,"High","Luxury")))</f>
        <v>High</v>
      </c>
    </row>
    <row r="454" spans="1:8" ht="15.75" customHeight="1" x14ac:dyDescent="0.25">
      <c r="A454" s="19" t="s">
        <v>22</v>
      </c>
      <c r="B454" s="19">
        <v>1346</v>
      </c>
      <c r="C454" s="19">
        <v>2</v>
      </c>
      <c r="D454" s="19">
        <v>1</v>
      </c>
      <c r="E454" s="23" t="s">
        <v>262</v>
      </c>
      <c r="F454" s="19" t="str">
        <f t="shared" si="1"/>
        <v>Medium</v>
      </c>
      <c r="G454" s="19">
        <v>740300</v>
      </c>
      <c r="H454" s="19" t="str">
        <f>IF(' BENGALURU HOUSE PRICE'!$G454&lt;=500000,"Low",
IF(' BENGALURU HOUSE PRICE'!$G454&lt;=1000000,"Medium",
IF(' BENGALURU HOUSE PRICE'!$G454&lt;=3000000,"High","Luxury")))</f>
        <v>Medium</v>
      </c>
    </row>
    <row r="455" spans="1:8" ht="15.75" customHeight="1" x14ac:dyDescent="0.25">
      <c r="A455" s="19" t="s">
        <v>349</v>
      </c>
      <c r="B455" s="19">
        <v>1200</v>
      </c>
      <c r="C455" s="19">
        <v>4</v>
      </c>
      <c r="D455" s="19">
        <v>2</v>
      </c>
      <c r="E455" s="23" t="s">
        <v>264</v>
      </c>
      <c r="F455" s="19" t="str">
        <f t="shared" si="1"/>
        <v>Medium</v>
      </c>
      <c r="G455" s="19">
        <v>2000000</v>
      </c>
      <c r="H455" s="19" t="str">
        <f>IF(' BENGALURU HOUSE PRICE'!$G455&lt;=500000,"Low",
IF(' BENGALURU HOUSE PRICE'!$G455&lt;=1000000,"Medium",
IF(' BENGALURU HOUSE PRICE'!$G455&lt;=3000000,"High","Luxury")))</f>
        <v>High</v>
      </c>
    </row>
    <row r="456" spans="1:8" ht="15.75" customHeight="1" x14ac:dyDescent="0.25">
      <c r="A456" s="19" t="s">
        <v>288</v>
      </c>
      <c r="B456" s="19">
        <v>1150</v>
      </c>
      <c r="C456" s="19">
        <v>2</v>
      </c>
      <c r="D456" s="19">
        <v>2</v>
      </c>
      <c r="E456" s="23" t="s">
        <v>262</v>
      </c>
      <c r="F456" s="19" t="str">
        <f t="shared" si="1"/>
        <v>Medium</v>
      </c>
      <c r="G456" s="19">
        <v>550000</v>
      </c>
      <c r="H456" s="19" t="str">
        <f>IF(' BENGALURU HOUSE PRICE'!$G456&lt;=500000,"Low",
IF(' BENGALURU HOUSE PRICE'!$G456&lt;=1000000,"Medium",
IF(' BENGALURU HOUSE PRICE'!$G456&lt;=3000000,"High","Luxury")))</f>
        <v>Medium</v>
      </c>
    </row>
    <row r="457" spans="1:8" ht="15.75" customHeight="1" x14ac:dyDescent="0.25">
      <c r="A457" s="19" t="s">
        <v>350</v>
      </c>
      <c r="B457" s="19">
        <v>3309</v>
      </c>
      <c r="C457" s="19">
        <v>4</v>
      </c>
      <c r="D457" s="19">
        <v>3</v>
      </c>
      <c r="E457" s="23" t="s">
        <v>264</v>
      </c>
      <c r="F457" s="19" t="str">
        <f t="shared" si="1"/>
        <v>Large</v>
      </c>
      <c r="G457" s="19">
        <v>3250000</v>
      </c>
      <c r="H457" s="19" t="str">
        <f>IF(' BENGALURU HOUSE PRICE'!$G457&lt;=500000,"Low",
IF(' BENGALURU HOUSE PRICE'!$G457&lt;=1000000,"Medium",
IF(' BENGALURU HOUSE PRICE'!$G457&lt;=3000000,"High","Luxury")))</f>
        <v>Luxury</v>
      </c>
    </row>
    <row r="458" spans="1:8" ht="15.75" customHeight="1" x14ac:dyDescent="0.25">
      <c r="A458" s="19" t="s">
        <v>74</v>
      </c>
      <c r="B458" s="19">
        <v>1190</v>
      </c>
      <c r="C458" s="19">
        <v>2</v>
      </c>
      <c r="D458" s="19">
        <v>2</v>
      </c>
      <c r="E458" s="23" t="s">
        <v>27</v>
      </c>
      <c r="F458" s="19" t="str">
        <f t="shared" si="1"/>
        <v>Medium</v>
      </c>
      <c r="G458" s="19">
        <v>303500</v>
      </c>
      <c r="H458" s="19" t="str">
        <f>IF(' BENGALURU HOUSE PRICE'!$G458&lt;=500000,"Low",
IF(' BENGALURU HOUSE PRICE'!$G458&lt;=1000000,"Medium",
IF(' BENGALURU HOUSE PRICE'!$G458&lt;=3000000,"High","Luxury")))</f>
        <v>Low</v>
      </c>
    </row>
    <row r="459" spans="1:8" ht="15.75" customHeight="1" x14ac:dyDescent="0.25">
      <c r="A459" s="19" t="s">
        <v>34</v>
      </c>
      <c r="B459" s="19">
        <v>1620</v>
      </c>
      <c r="C459" s="19">
        <v>3</v>
      </c>
      <c r="D459" s="19">
        <v>2</v>
      </c>
      <c r="E459" s="23" t="s">
        <v>27</v>
      </c>
      <c r="F459" s="19" t="str">
        <f t="shared" si="1"/>
        <v>Medium</v>
      </c>
      <c r="G459" s="19">
        <v>980000</v>
      </c>
      <c r="H459" s="19" t="str">
        <f>IF(' BENGALURU HOUSE PRICE'!$G459&lt;=500000,"Low",
IF(' BENGALURU HOUSE PRICE'!$G459&lt;=1000000,"Medium",
IF(' BENGALURU HOUSE PRICE'!$G459&lt;=3000000,"High","Luxury")))</f>
        <v>Medium</v>
      </c>
    </row>
    <row r="460" spans="1:8" ht="15.75" customHeight="1" x14ac:dyDescent="0.25">
      <c r="A460" s="19" t="s">
        <v>20</v>
      </c>
      <c r="B460" s="19">
        <v>950</v>
      </c>
      <c r="C460" s="19">
        <v>2</v>
      </c>
      <c r="D460" s="19">
        <v>1</v>
      </c>
      <c r="E460" s="23" t="s">
        <v>262</v>
      </c>
      <c r="F460" s="19" t="str">
        <f t="shared" si="1"/>
        <v>Small</v>
      </c>
      <c r="G460" s="19">
        <v>469600</v>
      </c>
      <c r="H460" s="19" t="str">
        <f>IF(' BENGALURU HOUSE PRICE'!$G460&lt;=500000,"Low",
IF(' BENGALURU HOUSE PRICE'!$G460&lt;=1000000,"Medium",
IF(' BENGALURU HOUSE PRICE'!$G460&lt;=3000000,"High","Luxury")))</f>
        <v>Low</v>
      </c>
    </row>
    <row r="461" spans="1:8" ht="15.75" customHeight="1" x14ac:dyDescent="0.25">
      <c r="A461" s="19" t="s">
        <v>351</v>
      </c>
      <c r="B461" s="19">
        <v>5000</v>
      </c>
      <c r="C461" s="19">
        <v>9</v>
      </c>
      <c r="D461" s="19">
        <v>3</v>
      </c>
      <c r="E461" s="23" t="s">
        <v>352</v>
      </c>
      <c r="F461" s="19" t="str">
        <f t="shared" si="1"/>
        <v>Large</v>
      </c>
      <c r="G461" s="19">
        <v>3600000</v>
      </c>
      <c r="H461" s="19" t="str">
        <f>IF(' BENGALURU HOUSE PRICE'!$G461&lt;=500000,"Low",
IF(' BENGALURU HOUSE PRICE'!$G461&lt;=1000000,"Medium",
IF(' BENGALURU HOUSE PRICE'!$G461&lt;=3000000,"High","Luxury")))</f>
        <v>Luxury</v>
      </c>
    </row>
    <row r="462" spans="1:8" ht="15.75" customHeight="1" x14ac:dyDescent="0.25">
      <c r="A462" s="19" t="s">
        <v>108</v>
      </c>
      <c r="B462" s="19">
        <v>2450</v>
      </c>
      <c r="C462" s="19">
        <v>3</v>
      </c>
      <c r="D462" s="19">
        <v>0</v>
      </c>
      <c r="E462" s="23" t="s">
        <v>27</v>
      </c>
      <c r="F462" s="19" t="str">
        <f t="shared" si="1"/>
        <v>Large</v>
      </c>
      <c r="G462" s="19">
        <v>1200000</v>
      </c>
      <c r="H462" s="19" t="str">
        <f>IF(' BENGALURU HOUSE PRICE'!$G462&lt;=500000,"Low",
IF(' BENGALURU HOUSE PRICE'!$G462&lt;=1000000,"Medium",
IF(' BENGALURU HOUSE PRICE'!$G462&lt;=3000000,"High","Luxury")))</f>
        <v>High</v>
      </c>
    </row>
    <row r="463" spans="1:8" ht="15.75" customHeight="1" x14ac:dyDescent="0.25">
      <c r="A463" s="19" t="s">
        <v>96</v>
      </c>
      <c r="B463" s="19">
        <v>1220</v>
      </c>
      <c r="C463" s="19">
        <v>2</v>
      </c>
      <c r="D463" s="19">
        <v>1</v>
      </c>
      <c r="E463" s="23" t="s">
        <v>27</v>
      </c>
      <c r="F463" s="19" t="str">
        <f t="shared" si="1"/>
        <v>Medium</v>
      </c>
      <c r="G463" s="19">
        <v>352300</v>
      </c>
      <c r="H463" s="19" t="str">
        <f>IF(' BENGALURU HOUSE PRICE'!$G463&lt;=500000,"Low",
IF(' BENGALURU HOUSE PRICE'!$G463&lt;=1000000,"Medium",
IF(' BENGALURU HOUSE PRICE'!$G463&lt;=3000000,"High","Luxury")))</f>
        <v>Low</v>
      </c>
    </row>
    <row r="464" spans="1:8" ht="15.75" customHeight="1" x14ac:dyDescent="0.25">
      <c r="A464" s="19" t="s">
        <v>121</v>
      </c>
      <c r="B464" s="19">
        <v>850</v>
      </c>
      <c r="C464" s="19">
        <v>2</v>
      </c>
      <c r="D464" s="19">
        <v>1</v>
      </c>
      <c r="E464" s="23" t="s">
        <v>262</v>
      </c>
      <c r="F464" s="19" t="str">
        <f t="shared" si="1"/>
        <v>Small</v>
      </c>
      <c r="G464" s="19">
        <v>300000</v>
      </c>
      <c r="H464" s="19" t="str">
        <f>IF(' BENGALURU HOUSE PRICE'!$G464&lt;=500000,"Low",
IF(' BENGALURU HOUSE PRICE'!$G464&lt;=1000000,"Medium",
IF(' BENGALURU HOUSE PRICE'!$G464&lt;=3000000,"High","Luxury")))</f>
        <v>Low</v>
      </c>
    </row>
    <row r="465" spans="1:8" ht="15.75" customHeight="1" x14ac:dyDescent="0.25">
      <c r="A465" s="19" t="s">
        <v>305</v>
      </c>
      <c r="B465" s="19">
        <v>1020</v>
      </c>
      <c r="C465" s="19">
        <v>2</v>
      </c>
      <c r="D465" s="19">
        <v>2</v>
      </c>
      <c r="E465" s="23" t="s">
        <v>262</v>
      </c>
      <c r="F465" s="19" t="str">
        <f t="shared" si="1"/>
        <v>Medium</v>
      </c>
      <c r="G465" s="19">
        <v>630000</v>
      </c>
      <c r="H465" s="19" t="str">
        <f>IF(' BENGALURU HOUSE PRICE'!$G465&lt;=500000,"Low",
IF(' BENGALURU HOUSE PRICE'!$G465&lt;=1000000,"Medium",
IF(' BENGALURU HOUSE PRICE'!$G465&lt;=3000000,"High","Luxury")))</f>
        <v>Medium</v>
      </c>
    </row>
    <row r="466" spans="1:8" ht="15.75" customHeight="1" x14ac:dyDescent="0.25">
      <c r="A466" s="19" t="s">
        <v>78</v>
      </c>
      <c r="B466" s="19">
        <v>1100</v>
      </c>
      <c r="C466" s="19">
        <v>2</v>
      </c>
      <c r="D466" s="19">
        <v>2</v>
      </c>
      <c r="E466" s="23" t="s">
        <v>262</v>
      </c>
      <c r="F466" s="19" t="str">
        <f t="shared" si="1"/>
        <v>Medium</v>
      </c>
      <c r="G466" s="19">
        <v>500000</v>
      </c>
      <c r="H466" s="19" t="str">
        <f>IF(' BENGALURU HOUSE PRICE'!$G466&lt;=500000,"Low",
IF(' BENGALURU HOUSE PRICE'!$G466&lt;=1000000,"Medium",
IF(' BENGALURU HOUSE PRICE'!$G466&lt;=3000000,"High","Luxury")))</f>
        <v>Low</v>
      </c>
    </row>
    <row r="467" spans="1:8" ht="15.75" customHeight="1" x14ac:dyDescent="0.25">
      <c r="A467" s="19" t="s">
        <v>353</v>
      </c>
      <c r="B467" s="19">
        <v>1150</v>
      </c>
      <c r="C467" s="19">
        <v>2</v>
      </c>
      <c r="D467" s="19">
        <v>2</v>
      </c>
      <c r="E467" s="23" t="s">
        <v>262</v>
      </c>
      <c r="F467" s="19" t="str">
        <f t="shared" si="1"/>
        <v>Medium</v>
      </c>
      <c r="G467" s="19">
        <v>1260000</v>
      </c>
      <c r="H467" s="19" t="str">
        <f>IF(' BENGALURU HOUSE PRICE'!$G467&lt;=500000,"Low",
IF(' BENGALURU HOUSE PRICE'!$G467&lt;=1000000,"Medium",
IF(' BENGALURU HOUSE PRICE'!$G467&lt;=3000000,"High","Luxury")))</f>
        <v>High</v>
      </c>
    </row>
    <row r="468" spans="1:8" ht="15.75" customHeight="1" x14ac:dyDescent="0.25">
      <c r="A468" s="19" t="s">
        <v>18</v>
      </c>
      <c r="B468" s="19">
        <v>1760</v>
      </c>
      <c r="C468" s="19">
        <v>2</v>
      </c>
      <c r="D468" s="19">
        <v>2</v>
      </c>
      <c r="E468" s="23" t="s">
        <v>27</v>
      </c>
      <c r="F468" s="19" t="str">
        <f t="shared" si="1"/>
        <v>Medium</v>
      </c>
      <c r="G468" s="19">
        <v>1300000</v>
      </c>
      <c r="H468" s="19" t="str">
        <f>IF(' BENGALURU HOUSE PRICE'!$G468&lt;=500000,"Low",
IF(' BENGALURU HOUSE PRICE'!$G468&lt;=1000000,"Medium",
IF(' BENGALURU HOUSE PRICE'!$G468&lt;=3000000,"High","Luxury")))</f>
        <v>High</v>
      </c>
    </row>
    <row r="469" spans="1:8" ht="15.75" customHeight="1" x14ac:dyDescent="0.25">
      <c r="A469" s="19" t="s">
        <v>36</v>
      </c>
      <c r="B469" s="19">
        <v>1800</v>
      </c>
      <c r="C469" s="19">
        <v>3</v>
      </c>
      <c r="D469" s="19">
        <v>3</v>
      </c>
      <c r="E469" s="23" t="s">
        <v>27</v>
      </c>
      <c r="F469" s="19" t="str">
        <f t="shared" si="1"/>
        <v>Medium</v>
      </c>
      <c r="G469" s="19">
        <v>1100000</v>
      </c>
      <c r="H469" s="19" t="str">
        <f>IF(' BENGALURU HOUSE PRICE'!$G469&lt;=500000,"Low",
IF(' BENGALURU HOUSE PRICE'!$G469&lt;=1000000,"Medium",
IF(' BENGALURU HOUSE PRICE'!$G469&lt;=3000000,"High","Luxury")))</f>
        <v>High</v>
      </c>
    </row>
    <row r="470" spans="1:8" ht="15.75" customHeight="1" x14ac:dyDescent="0.25">
      <c r="A470" s="19" t="s">
        <v>35</v>
      </c>
      <c r="B470" s="19">
        <v>1070</v>
      </c>
      <c r="C470" s="19">
        <v>2</v>
      </c>
      <c r="D470" s="19">
        <v>1</v>
      </c>
      <c r="E470" s="23" t="s">
        <v>262</v>
      </c>
      <c r="F470" s="19" t="str">
        <f t="shared" si="1"/>
        <v>Medium</v>
      </c>
      <c r="G470" s="19">
        <v>540000</v>
      </c>
      <c r="H470" s="19" t="str">
        <f>IF(' BENGALURU HOUSE PRICE'!$G470&lt;=500000,"Low",
IF(' BENGALURU HOUSE PRICE'!$G470&lt;=1000000,"Medium",
IF(' BENGALURU HOUSE PRICE'!$G470&lt;=3000000,"High","Luxury")))</f>
        <v>Medium</v>
      </c>
    </row>
    <row r="471" spans="1:8" ht="15.75" customHeight="1" x14ac:dyDescent="0.25">
      <c r="A471" s="19" t="s">
        <v>354</v>
      </c>
      <c r="B471" s="19">
        <v>1500</v>
      </c>
      <c r="C471" s="19">
        <v>4</v>
      </c>
      <c r="D471" s="19">
        <v>2</v>
      </c>
      <c r="E471" s="23" t="s">
        <v>264</v>
      </c>
      <c r="F471" s="19" t="str">
        <f t="shared" si="1"/>
        <v>Medium</v>
      </c>
      <c r="G471" s="19">
        <v>2200000</v>
      </c>
      <c r="H471" s="19" t="str">
        <f>IF(' BENGALURU HOUSE PRICE'!$G471&lt;=500000,"Low",
IF(' BENGALURU HOUSE PRICE'!$G471&lt;=1000000,"Medium",
IF(' BENGALURU HOUSE PRICE'!$G471&lt;=3000000,"High","Luxury")))</f>
        <v>High</v>
      </c>
    </row>
    <row r="472" spans="1:8" ht="15.75" customHeight="1" x14ac:dyDescent="0.25">
      <c r="A472" s="19" t="s">
        <v>244</v>
      </c>
      <c r="B472" s="19">
        <v>1440</v>
      </c>
      <c r="C472" s="19">
        <v>2</v>
      </c>
      <c r="D472" s="19">
        <v>0</v>
      </c>
      <c r="E472" s="23" t="s">
        <v>262</v>
      </c>
      <c r="F472" s="19" t="str">
        <f t="shared" si="1"/>
        <v>Medium</v>
      </c>
      <c r="G472" s="19">
        <v>950000</v>
      </c>
      <c r="H472" s="19" t="str">
        <f>IF(' BENGALURU HOUSE PRICE'!$G472&lt;=500000,"Low",
IF(' BENGALURU HOUSE PRICE'!$G472&lt;=1000000,"Medium",
IF(' BENGALURU HOUSE PRICE'!$G472&lt;=3000000,"High","Luxury")))</f>
        <v>Medium</v>
      </c>
    </row>
    <row r="473" spans="1:8" ht="15.75" customHeight="1" x14ac:dyDescent="0.25">
      <c r="A473" s="19" t="s">
        <v>355</v>
      </c>
      <c r="B473" s="19">
        <v>900</v>
      </c>
      <c r="C473" s="19">
        <v>2</v>
      </c>
      <c r="D473" s="19">
        <v>1</v>
      </c>
      <c r="E473" s="23" t="s">
        <v>262</v>
      </c>
      <c r="F473" s="19" t="str">
        <f t="shared" si="1"/>
        <v>Small</v>
      </c>
      <c r="G473" s="19">
        <v>400000</v>
      </c>
      <c r="H473" s="19" t="str">
        <f>IF(' BENGALURU HOUSE PRICE'!$G473&lt;=500000,"Low",
IF(' BENGALURU HOUSE PRICE'!$G473&lt;=1000000,"Medium",
IF(' BENGALURU HOUSE PRICE'!$G473&lt;=3000000,"High","Luxury")))</f>
        <v>Low</v>
      </c>
    </row>
    <row r="474" spans="1:8" ht="15.75" customHeight="1" x14ac:dyDescent="0.25">
      <c r="A474" s="19" t="s">
        <v>356</v>
      </c>
      <c r="B474" s="19">
        <v>1200</v>
      </c>
      <c r="C474" s="19">
        <v>4</v>
      </c>
      <c r="D474" s="19">
        <v>1</v>
      </c>
      <c r="E474" s="23" t="s">
        <v>264</v>
      </c>
      <c r="F474" s="19" t="str">
        <f t="shared" si="1"/>
        <v>Medium</v>
      </c>
      <c r="G474" s="19">
        <v>2300000</v>
      </c>
      <c r="H474" s="19" t="str">
        <f>IF(' BENGALURU HOUSE PRICE'!$G474&lt;=500000,"Low",
IF(' BENGALURU HOUSE PRICE'!$G474&lt;=1000000,"Medium",
IF(' BENGALURU HOUSE PRICE'!$G474&lt;=3000000,"High","Luxury")))</f>
        <v>High</v>
      </c>
    </row>
    <row r="475" spans="1:8" ht="15.75" customHeight="1" x14ac:dyDescent="0.25">
      <c r="A475" s="19" t="s">
        <v>25</v>
      </c>
      <c r="B475" s="19">
        <v>1130</v>
      </c>
      <c r="C475" s="19">
        <v>2</v>
      </c>
      <c r="D475" s="19">
        <v>1</v>
      </c>
      <c r="E475" s="23" t="s">
        <v>262</v>
      </c>
      <c r="F475" s="19" t="str">
        <f t="shared" si="1"/>
        <v>Medium</v>
      </c>
      <c r="G475" s="19">
        <v>421600</v>
      </c>
      <c r="H475" s="19" t="str">
        <f>IF(' BENGALURU HOUSE PRICE'!$G475&lt;=500000,"Low",
IF(' BENGALURU HOUSE PRICE'!$G475&lt;=1000000,"Medium",
IF(' BENGALURU HOUSE PRICE'!$G475&lt;=3000000,"High","Luxury")))</f>
        <v>Low</v>
      </c>
    </row>
    <row r="476" spans="1:8" ht="15.75" customHeight="1" x14ac:dyDescent="0.25">
      <c r="A476" s="19" t="s">
        <v>157</v>
      </c>
      <c r="B476" s="19">
        <v>1320</v>
      </c>
      <c r="C476" s="19">
        <v>2</v>
      </c>
      <c r="D476" s="19">
        <v>1</v>
      </c>
      <c r="E476" s="23" t="s">
        <v>262</v>
      </c>
      <c r="F476" s="19" t="str">
        <f t="shared" si="1"/>
        <v>Medium</v>
      </c>
      <c r="G476" s="19">
        <v>1650000</v>
      </c>
      <c r="H476" s="19" t="str">
        <f>IF(' BENGALURU HOUSE PRICE'!$G476&lt;=500000,"Low",
IF(' BENGALURU HOUSE PRICE'!$G476&lt;=1000000,"Medium",
IF(' BENGALURU HOUSE PRICE'!$G476&lt;=3000000,"High","Luxury")))</f>
        <v>High</v>
      </c>
    </row>
    <row r="477" spans="1:8" ht="15.75" customHeight="1" x14ac:dyDescent="0.25">
      <c r="A477" s="19" t="s">
        <v>357</v>
      </c>
      <c r="B477" s="19">
        <v>1270</v>
      </c>
      <c r="C477" s="19">
        <v>2</v>
      </c>
      <c r="D477" s="19">
        <v>1</v>
      </c>
      <c r="E477" s="23" t="s">
        <v>262</v>
      </c>
      <c r="F477" s="19" t="str">
        <f t="shared" si="1"/>
        <v>Medium</v>
      </c>
      <c r="G477" s="19">
        <v>980000</v>
      </c>
      <c r="H477" s="19" t="str">
        <f>IF(' BENGALURU HOUSE PRICE'!$G477&lt;=500000,"Low",
IF(' BENGALURU HOUSE PRICE'!$G477&lt;=1000000,"Medium",
IF(' BENGALURU HOUSE PRICE'!$G477&lt;=3000000,"High","Luxury")))</f>
        <v>Medium</v>
      </c>
    </row>
    <row r="478" spans="1:8" ht="15.75" customHeight="1" x14ac:dyDescent="0.25">
      <c r="A478" s="19" t="s">
        <v>358</v>
      </c>
      <c r="B478" s="19">
        <v>1200</v>
      </c>
      <c r="C478" s="19">
        <v>2</v>
      </c>
      <c r="D478" s="19">
        <v>1</v>
      </c>
      <c r="E478" s="23" t="s">
        <v>262</v>
      </c>
      <c r="F478" s="19" t="str">
        <f t="shared" si="1"/>
        <v>Medium</v>
      </c>
      <c r="G478" s="19">
        <v>620000</v>
      </c>
      <c r="H478" s="19" t="str">
        <f>IF(' BENGALURU HOUSE PRICE'!$G478&lt;=500000,"Low",
IF(' BENGALURU HOUSE PRICE'!$G478&lt;=1000000,"Medium",
IF(' BENGALURU HOUSE PRICE'!$G478&lt;=3000000,"High","Luxury")))</f>
        <v>Medium</v>
      </c>
    </row>
    <row r="479" spans="1:8" ht="15.75" customHeight="1" x14ac:dyDescent="0.25">
      <c r="A479" s="19" t="s">
        <v>359</v>
      </c>
      <c r="B479" s="19">
        <v>4800</v>
      </c>
      <c r="C479" s="19">
        <v>4</v>
      </c>
      <c r="D479" s="19">
        <v>2</v>
      </c>
      <c r="E479" s="23" t="s">
        <v>264</v>
      </c>
      <c r="F479" s="19" t="str">
        <f t="shared" si="1"/>
        <v>Large</v>
      </c>
      <c r="G479" s="19">
        <v>2350000</v>
      </c>
      <c r="H479" s="19" t="str">
        <f>IF(' BENGALURU HOUSE PRICE'!$G479&lt;=500000,"Low",
IF(' BENGALURU HOUSE PRICE'!$G479&lt;=1000000,"Medium",
IF(' BENGALURU HOUSE PRICE'!$G479&lt;=3000000,"High","Luxury")))</f>
        <v>High</v>
      </c>
    </row>
    <row r="480" spans="1:8" ht="15.75" customHeight="1" x14ac:dyDescent="0.25">
      <c r="A480" s="19" t="s">
        <v>360</v>
      </c>
      <c r="B480" s="19">
        <v>1200</v>
      </c>
      <c r="C480" s="19">
        <v>2</v>
      </c>
      <c r="D480" s="19">
        <v>1</v>
      </c>
      <c r="E480" s="23" t="s">
        <v>262</v>
      </c>
      <c r="F480" s="19" t="str">
        <f t="shared" si="1"/>
        <v>Medium</v>
      </c>
      <c r="G480" s="19">
        <v>740000</v>
      </c>
      <c r="H480" s="19" t="str">
        <f>IF(' BENGALURU HOUSE PRICE'!$G480&lt;=500000,"Low",
IF(' BENGALURU HOUSE PRICE'!$G480&lt;=1000000,"Medium",
IF(' BENGALURU HOUSE PRICE'!$G480&lt;=3000000,"High","Luxury")))</f>
        <v>Medium</v>
      </c>
    </row>
    <row r="481" spans="1:8" ht="15.75" customHeight="1" x14ac:dyDescent="0.25">
      <c r="A481" s="19" t="s">
        <v>361</v>
      </c>
      <c r="B481" s="19">
        <v>929</v>
      </c>
      <c r="C481" s="19">
        <v>2</v>
      </c>
      <c r="D481" s="19">
        <v>0</v>
      </c>
      <c r="E481" s="23" t="s">
        <v>262</v>
      </c>
      <c r="F481" s="19" t="str">
        <f t="shared" si="1"/>
        <v>Small</v>
      </c>
      <c r="G481" s="19">
        <v>501700</v>
      </c>
      <c r="H481" s="19" t="str">
        <f>IF(' BENGALURU HOUSE PRICE'!$G481&lt;=500000,"Low",
IF(' BENGALURU HOUSE PRICE'!$G481&lt;=1000000,"Medium",
IF(' BENGALURU HOUSE PRICE'!$G481&lt;=3000000,"High","Luxury")))</f>
        <v>Medium</v>
      </c>
    </row>
    <row r="482" spans="1:8" ht="15.75" customHeight="1" x14ac:dyDescent="0.25">
      <c r="A482" s="19" t="s">
        <v>323</v>
      </c>
      <c r="B482" s="19">
        <v>1150</v>
      </c>
      <c r="C482" s="19">
        <v>4</v>
      </c>
      <c r="D482" s="19">
        <v>2</v>
      </c>
      <c r="E482" s="23" t="s">
        <v>264</v>
      </c>
      <c r="F482" s="19" t="str">
        <f t="shared" si="1"/>
        <v>Medium</v>
      </c>
      <c r="G482" s="19">
        <v>2600000</v>
      </c>
      <c r="H482" s="19" t="str">
        <f>IF(' BENGALURU HOUSE PRICE'!$G482&lt;=500000,"Low",
IF(' BENGALURU HOUSE PRICE'!$G482&lt;=1000000,"Medium",
IF(' BENGALURU HOUSE PRICE'!$G482&lt;=3000000,"High","Luxury")))</f>
        <v>High</v>
      </c>
    </row>
    <row r="483" spans="1:8" ht="15.75" customHeight="1" x14ac:dyDescent="0.25">
      <c r="A483" s="19" t="s">
        <v>362</v>
      </c>
      <c r="B483" s="19">
        <v>1125</v>
      </c>
      <c r="C483" s="19">
        <v>4</v>
      </c>
      <c r="D483" s="19">
        <v>3</v>
      </c>
      <c r="E483" s="23" t="s">
        <v>264</v>
      </c>
      <c r="F483" s="19" t="str">
        <f t="shared" si="1"/>
        <v>Medium</v>
      </c>
      <c r="G483" s="19">
        <v>1800000</v>
      </c>
      <c r="H483" s="19" t="str">
        <f>IF(' BENGALURU HOUSE PRICE'!$G483&lt;=500000,"Low",
IF(' BENGALURU HOUSE PRICE'!$G483&lt;=1000000,"Medium",
IF(' BENGALURU HOUSE PRICE'!$G483&lt;=3000000,"High","Luxury")))</f>
        <v>High</v>
      </c>
    </row>
    <row r="484" spans="1:8" ht="15.75" customHeight="1" x14ac:dyDescent="0.25">
      <c r="A484" s="19" t="s">
        <v>363</v>
      </c>
      <c r="B484" s="19">
        <v>500</v>
      </c>
      <c r="C484" s="19">
        <v>3</v>
      </c>
      <c r="D484" s="19">
        <v>2</v>
      </c>
      <c r="E484" s="23" t="s">
        <v>292</v>
      </c>
      <c r="F484" s="19" t="str">
        <f t="shared" si="1"/>
        <v>Small</v>
      </c>
      <c r="G484" s="19">
        <v>650000</v>
      </c>
      <c r="H484" s="19" t="str">
        <f>IF(' BENGALURU HOUSE PRICE'!$G484&lt;=500000,"Low",
IF(' BENGALURU HOUSE PRICE'!$G484&lt;=1000000,"Medium",
IF(' BENGALURU HOUSE PRICE'!$G484&lt;=3000000,"High","Luxury")))</f>
        <v>Medium</v>
      </c>
    </row>
    <row r="485" spans="1:8" ht="15.75" customHeight="1" x14ac:dyDescent="0.25">
      <c r="A485" s="19" t="s">
        <v>364</v>
      </c>
      <c r="B485" s="19">
        <v>1200</v>
      </c>
      <c r="C485" s="19">
        <v>5</v>
      </c>
      <c r="D485" s="19">
        <v>2</v>
      </c>
      <c r="E485" s="23" t="s">
        <v>292</v>
      </c>
      <c r="F485" s="19" t="str">
        <f t="shared" si="1"/>
        <v>Medium</v>
      </c>
      <c r="G485" s="19">
        <v>1900000</v>
      </c>
      <c r="H485" s="19" t="str">
        <f>IF(' BENGALURU HOUSE PRICE'!$G485&lt;=500000,"Low",
IF(' BENGALURU HOUSE PRICE'!$G485&lt;=1000000,"Medium",
IF(' BENGALURU HOUSE PRICE'!$G485&lt;=3000000,"High","Luxury")))</f>
        <v>High</v>
      </c>
    </row>
    <row r="486" spans="1:8" ht="15.75" customHeight="1" x14ac:dyDescent="0.25">
      <c r="A486" s="19" t="s">
        <v>161</v>
      </c>
      <c r="B486" s="19">
        <v>1464</v>
      </c>
      <c r="C486" s="19">
        <v>3</v>
      </c>
      <c r="D486" s="19">
        <v>2</v>
      </c>
      <c r="E486" s="23" t="s">
        <v>27</v>
      </c>
      <c r="F486" s="19" t="str">
        <f t="shared" si="1"/>
        <v>Medium</v>
      </c>
      <c r="G486" s="19">
        <v>560000</v>
      </c>
      <c r="H486" s="19" t="str">
        <f>IF(' BENGALURU HOUSE PRICE'!$G486&lt;=500000,"Low",
IF(' BENGALURU HOUSE PRICE'!$G486&lt;=1000000,"Medium",
IF(' BENGALURU HOUSE PRICE'!$G486&lt;=3000000,"High","Luxury")))</f>
        <v>Medium</v>
      </c>
    </row>
    <row r="487" spans="1:8" ht="15.75" customHeight="1" x14ac:dyDescent="0.25">
      <c r="A487" s="19" t="s">
        <v>15</v>
      </c>
      <c r="B487" s="19">
        <v>3600</v>
      </c>
      <c r="C487" s="19">
        <v>4</v>
      </c>
      <c r="D487" s="19">
        <v>3</v>
      </c>
      <c r="E487" s="23" t="s">
        <v>264</v>
      </c>
      <c r="F487" s="19" t="str">
        <f t="shared" si="1"/>
        <v>Large</v>
      </c>
      <c r="G487" s="19">
        <v>4000000</v>
      </c>
      <c r="H487" s="19" t="str">
        <f>IF(' BENGALURU HOUSE PRICE'!$G487&lt;=500000,"Low",
IF(' BENGALURU HOUSE PRICE'!$G487&lt;=1000000,"Medium",
IF(' BENGALURU HOUSE PRICE'!$G487&lt;=3000000,"High","Luxury")))</f>
        <v>Luxury</v>
      </c>
    </row>
    <row r="488" spans="1:8" ht="15.75" customHeight="1" x14ac:dyDescent="0.25">
      <c r="A488" s="19" t="s">
        <v>365</v>
      </c>
      <c r="B488" s="19">
        <v>2000</v>
      </c>
      <c r="C488" s="19">
        <v>4</v>
      </c>
      <c r="D488" s="19">
        <v>2</v>
      </c>
      <c r="E488" s="23" t="s">
        <v>264</v>
      </c>
      <c r="F488" s="19" t="str">
        <f t="shared" si="1"/>
        <v>Medium</v>
      </c>
      <c r="G488" s="19">
        <v>990000</v>
      </c>
      <c r="H488" s="19" t="str">
        <f>IF(' BENGALURU HOUSE PRICE'!$G488&lt;=500000,"Low",
IF(' BENGALURU HOUSE PRICE'!$G488&lt;=1000000,"Medium",
IF(' BENGALURU HOUSE PRICE'!$G488&lt;=3000000,"High","Luxury")))</f>
        <v>Medium</v>
      </c>
    </row>
    <row r="489" spans="1:8" ht="15.75" customHeight="1" x14ac:dyDescent="0.25">
      <c r="A489" s="19" t="s">
        <v>78</v>
      </c>
      <c r="B489" s="19">
        <v>1208</v>
      </c>
      <c r="C489" s="19">
        <v>2</v>
      </c>
      <c r="D489" s="19">
        <v>1</v>
      </c>
      <c r="E489" s="23" t="s">
        <v>262</v>
      </c>
      <c r="F489" s="19" t="str">
        <f t="shared" si="1"/>
        <v>Medium</v>
      </c>
      <c r="G489" s="19">
        <v>490000</v>
      </c>
      <c r="H489" s="19" t="str">
        <f>IF(' BENGALURU HOUSE PRICE'!$G489&lt;=500000,"Low",
IF(' BENGALURU HOUSE PRICE'!$G489&lt;=1000000,"Medium",
IF(' BENGALURU HOUSE PRICE'!$G489&lt;=3000000,"High","Luxury")))</f>
        <v>Low</v>
      </c>
    </row>
    <row r="490" spans="1:8" ht="15.75" customHeight="1" x14ac:dyDescent="0.25">
      <c r="A490" s="19" t="s">
        <v>109</v>
      </c>
      <c r="B490" s="19">
        <v>1130</v>
      </c>
      <c r="C490" s="19">
        <v>2</v>
      </c>
      <c r="D490" s="19">
        <v>2</v>
      </c>
      <c r="E490" s="23" t="s">
        <v>262</v>
      </c>
      <c r="F490" s="19" t="str">
        <f t="shared" si="1"/>
        <v>Medium</v>
      </c>
      <c r="G490" s="19">
        <v>600000</v>
      </c>
      <c r="H490" s="19" t="str">
        <f>IF(' BENGALURU HOUSE PRICE'!$G490&lt;=500000,"Low",
IF(' BENGALURU HOUSE PRICE'!$G490&lt;=1000000,"Medium",
IF(' BENGALURU HOUSE PRICE'!$G490&lt;=3000000,"High","Luxury")))</f>
        <v>Medium</v>
      </c>
    </row>
    <row r="491" spans="1:8" ht="15.75" customHeight="1" x14ac:dyDescent="0.25">
      <c r="A491" s="19" t="s">
        <v>223</v>
      </c>
      <c r="B491" s="19">
        <v>1753</v>
      </c>
      <c r="C491" s="19">
        <v>3</v>
      </c>
      <c r="D491" s="19">
        <v>2</v>
      </c>
      <c r="E491" s="23" t="s">
        <v>27</v>
      </c>
      <c r="F491" s="19" t="str">
        <f t="shared" si="1"/>
        <v>Medium</v>
      </c>
      <c r="G491" s="19">
        <v>1200000</v>
      </c>
      <c r="H491" s="19" t="str">
        <f>IF(' BENGALURU HOUSE PRICE'!$G491&lt;=500000,"Low",
IF(' BENGALURU HOUSE PRICE'!$G491&lt;=1000000,"Medium",
IF(' BENGALURU HOUSE PRICE'!$G491&lt;=3000000,"High","Luxury")))</f>
        <v>High</v>
      </c>
    </row>
    <row r="492" spans="1:8" ht="15.75" customHeight="1" x14ac:dyDescent="0.25">
      <c r="A492" s="19" t="s">
        <v>190</v>
      </c>
      <c r="B492" s="19">
        <v>4500</v>
      </c>
      <c r="C492" s="19">
        <v>7</v>
      </c>
      <c r="D492" s="19">
        <v>3</v>
      </c>
      <c r="E492" s="23" t="s">
        <v>292</v>
      </c>
      <c r="F492" s="19" t="str">
        <f t="shared" si="1"/>
        <v>Large</v>
      </c>
      <c r="G492" s="19">
        <v>3370000</v>
      </c>
      <c r="H492" s="19" t="str">
        <f>IF(' BENGALURU HOUSE PRICE'!$G492&lt;=500000,"Low",
IF(' BENGALURU HOUSE PRICE'!$G492&lt;=1000000,"Medium",
IF(' BENGALURU HOUSE PRICE'!$G492&lt;=3000000,"High","Luxury")))</f>
        <v>Luxury</v>
      </c>
    </row>
    <row r="493" spans="1:8" ht="15.75" customHeight="1" x14ac:dyDescent="0.25">
      <c r="A493" s="19" t="s">
        <v>51</v>
      </c>
      <c r="B493" s="19">
        <v>600</v>
      </c>
      <c r="C493" s="19">
        <v>3</v>
      </c>
      <c r="D493" s="19">
        <v>2</v>
      </c>
      <c r="E493" s="23" t="s">
        <v>27</v>
      </c>
      <c r="F493" s="19" t="str">
        <f t="shared" si="1"/>
        <v>Small</v>
      </c>
      <c r="G493" s="19">
        <v>580000</v>
      </c>
      <c r="H493" s="19" t="str">
        <f>IF(' BENGALURU HOUSE PRICE'!$G493&lt;=500000,"Low",
IF(' BENGALURU HOUSE PRICE'!$G493&lt;=1000000,"Medium",
IF(' BENGALURU HOUSE PRICE'!$G493&lt;=3000000,"High","Luxury")))</f>
        <v>Medium</v>
      </c>
    </row>
    <row r="494" spans="1:8" ht="15.75" customHeight="1" x14ac:dyDescent="0.25">
      <c r="A494" s="19" t="s">
        <v>113</v>
      </c>
      <c r="B494" s="19">
        <v>1196</v>
      </c>
      <c r="C494" s="19">
        <v>2</v>
      </c>
      <c r="D494" s="19">
        <v>2</v>
      </c>
      <c r="E494" s="23" t="s">
        <v>262</v>
      </c>
      <c r="F494" s="19" t="str">
        <f t="shared" si="1"/>
        <v>Medium</v>
      </c>
      <c r="G494" s="19">
        <v>944200</v>
      </c>
      <c r="H494" s="19" t="str">
        <f>IF(' BENGALURU HOUSE PRICE'!$G494&lt;=500000,"Low",
IF(' BENGALURU HOUSE PRICE'!$G494&lt;=1000000,"Medium",
IF(' BENGALURU HOUSE PRICE'!$G494&lt;=3000000,"High","Luxury")))</f>
        <v>Medium</v>
      </c>
    </row>
    <row r="495" spans="1:8" ht="15.75" customHeight="1" x14ac:dyDescent="0.25">
      <c r="A495" s="19" t="s">
        <v>337</v>
      </c>
      <c r="B495" s="19">
        <v>1150</v>
      </c>
      <c r="C495" s="19">
        <v>3</v>
      </c>
      <c r="D495" s="19">
        <v>3</v>
      </c>
      <c r="E495" s="23" t="s">
        <v>262</v>
      </c>
      <c r="F495" s="19" t="str">
        <f t="shared" si="1"/>
        <v>Medium</v>
      </c>
      <c r="G495" s="19">
        <v>525000</v>
      </c>
      <c r="H495" s="19" t="str">
        <f>IF(' BENGALURU HOUSE PRICE'!$G495&lt;=500000,"Low",
IF(' BENGALURU HOUSE PRICE'!$G495&lt;=1000000,"Medium",
IF(' BENGALURU HOUSE PRICE'!$G495&lt;=3000000,"High","Luxury")))</f>
        <v>Medium</v>
      </c>
    </row>
    <row r="496" spans="1:8" ht="15.75" customHeight="1" x14ac:dyDescent="0.25">
      <c r="A496" s="19" t="s">
        <v>16</v>
      </c>
      <c r="B496" s="19">
        <v>1128</v>
      </c>
      <c r="C496" s="19">
        <v>2</v>
      </c>
      <c r="D496" s="19">
        <v>1</v>
      </c>
      <c r="E496" s="23" t="s">
        <v>262</v>
      </c>
      <c r="F496" s="19" t="str">
        <f t="shared" si="1"/>
        <v>Medium</v>
      </c>
      <c r="G496" s="19">
        <v>630000</v>
      </c>
      <c r="H496" s="19" t="str">
        <f>IF(' BENGALURU HOUSE PRICE'!$G496&lt;=500000,"Low",
IF(' BENGALURU HOUSE PRICE'!$G496&lt;=1000000,"Medium",
IF(' BENGALURU HOUSE PRICE'!$G496&lt;=3000000,"High","Luxury")))</f>
        <v>Medium</v>
      </c>
    </row>
    <row r="497" spans="1:8" ht="15.75" customHeight="1" x14ac:dyDescent="0.25">
      <c r="A497" s="19" t="s">
        <v>366</v>
      </c>
      <c r="B497" s="19">
        <v>1000</v>
      </c>
      <c r="C497" s="19">
        <v>2</v>
      </c>
      <c r="D497" s="19">
        <v>1</v>
      </c>
      <c r="E497" s="23" t="s">
        <v>262</v>
      </c>
      <c r="F497" s="19" t="str">
        <f t="shared" si="1"/>
        <v>Small</v>
      </c>
      <c r="G497" s="19">
        <v>530000</v>
      </c>
      <c r="H497" s="19" t="str">
        <f>IF(' BENGALURU HOUSE PRICE'!$G497&lt;=500000,"Low",
IF(' BENGALURU HOUSE PRICE'!$G497&lt;=1000000,"Medium",
IF(' BENGALURU HOUSE PRICE'!$G497&lt;=3000000,"High","Luxury")))</f>
        <v>Medium</v>
      </c>
    </row>
    <row r="498" spans="1:8" ht="15.75" customHeight="1" x14ac:dyDescent="0.25">
      <c r="A498" s="19" t="s">
        <v>26</v>
      </c>
      <c r="B498" s="19">
        <v>1035</v>
      </c>
      <c r="C498" s="19">
        <v>2</v>
      </c>
      <c r="D498" s="19">
        <v>1</v>
      </c>
      <c r="E498" s="23" t="s">
        <v>262</v>
      </c>
      <c r="F498" s="19" t="str">
        <f t="shared" si="1"/>
        <v>Medium</v>
      </c>
      <c r="G498" s="19">
        <v>450000</v>
      </c>
      <c r="H498" s="19" t="str">
        <f>IF(' BENGALURU HOUSE PRICE'!$G498&lt;=500000,"Low",
IF(' BENGALURU HOUSE PRICE'!$G498&lt;=1000000,"Medium",
IF(' BENGALURU HOUSE PRICE'!$G498&lt;=3000000,"High","Luxury")))</f>
        <v>Low</v>
      </c>
    </row>
    <row r="499" spans="1:8" ht="15.75" customHeight="1" x14ac:dyDescent="0.25">
      <c r="A499" s="19" t="s">
        <v>367</v>
      </c>
      <c r="B499" s="19">
        <v>950</v>
      </c>
      <c r="C499" s="19">
        <v>2</v>
      </c>
      <c r="D499" s="19">
        <v>1</v>
      </c>
      <c r="E499" s="23" t="s">
        <v>262</v>
      </c>
      <c r="F499" s="19" t="str">
        <f t="shared" si="1"/>
        <v>Small</v>
      </c>
      <c r="G499" s="19">
        <v>320000</v>
      </c>
      <c r="H499" s="19" t="str">
        <f>IF(' BENGALURU HOUSE PRICE'!$G499&lt;=500000,"Low",
IF(' BENGALURU HOUSE PRICE'!$G499&lt;=1000000,"Medium",
IF(' BENGALURU HOUSE PRICE'!$G499&lt;=3000000,"High","Luxury")))</f>
        <v>Low</v>
      </c>
    </row>
    <row r="500" spans="1:8" ht="15.75" customHeight="1" x14ac:dyDescent="0.25">
      <c r="A500" s="19" t="s">
        <v>65</v>
      </c>
      <c r="B500" s="19">
        <v>1075</v>
      </c>
      <c r="C500" s="19">
        <v>2</v>
      </c>
      <c r="D500" s="19">
        <v>1</v>
      </c>
      <c r="E500" s="23" t="s">
        <v>27</v>
      </c>
      <c r="F500" s="19" t="str">
        <f t="shared" si="1"/>
        <v>Medium</v>
      </c>
      <c r="G500" s="19">
        <v>360000</v>
      </c>
      <c r="H500" s="19" t="str">
        <f>IF(' BENGALURU HOUSE PRICE'!$G500&lt;=500000,"Low",
IF(' BENGALURU HOUSE PRICE'!$G500&lt;=1000000,"Medium",
IF(' BENGALURU HOUSE PRICE'!$G500&lt;=3000000,"High","Luxury")))</f>
        <v>Low</v>
      </c>
    </row>
    <row r="501" spans="1:8" ht="15.75" customHeight="1" x14ac:dyDescent="0.25">
      <c r="A501" s="19" t="s">
        <v>25</v>
      </c>
      <c r="B501" s="19">
        <v>1040</v>
      </c>
      <c r="C501" s="19">
        <v>2</v>
      </c>
      <c r="D501" s="19">
        <v>1</v>
      </c>
      <c r="E501" s="23" t="s">
        <v>262</v>
      </c>
      <c r="F501" s="19" t="str">
        <f t="shared" si="1"/>
        <v>Medium</v>
      </c>
      <c r="G501" s="19">
        <v>485000</v>
      </c>
      <c r="H501" s="19" t="str">
        <f>IF(' BENGALURU HOUSE PRICE'!$G501&lt;=500000,"Low",
IF(' BENGALURU HOUSE PRICE'!$G501&lt;=1000000,"Medium",
IF(' BENGALURU HOUSE PRICE'!$G501&lt;=3000000,"High","Luxury")))</f>
        <v>Low</v>
      </c>
    </row>
    <row r="502" spans="1:8" ht="15.75" customHeight="1" x14ac:dyDescent="0.25">
      <c r="A502" s="19" t="s">
        <v>176</v>
      </c>
      <c r="B502" s="19">
        <v>720</v>
      </c>
      <c r="C502" s="19">
        <v>2</v>
      </c>
      <c r="D502" s="19">
        <v>1</v>
      </c>
      <c r="E502" s="23" t="s">
        <v>262</v>
      </c>
      <c r="F502" s="19" t="str">
        <f t="shared" si="1"/>
        <v>Small</v>
      </c>
      <c r="G502" s="19">
        <v>450000</v>
      </c>
      <c r="H502" s="19" t="str">
        <f>IF(' BENGALURU HOUSE PRICE'!$G502&lt;=500000,"Low",
IF(' BENGALURU HOUSE PRICE'!$G502&lt;=1000000,"Medium",
IF(' BENGALURU HOUSE PRICE'!$G502&lt;=3000000,"High","Luxury")))</f>
        <v>Low</v>
      </c>
    </row>
    <row r="503" spans="1:8" ht="15.75" customHeight="1" x14ac:dyDescent="0.25">
      <c r="A503" s="19" t="s">
        <v>167</v>
      </c>
      <c r="B503" s="19">
        <v>1511</v>
      </c>
      <c r="C503" s="19">
        <v>3</v>
      </c>
      <c r="D503" s="19">
        <v>1</v>
      </c>
      <c r="E503" s="23" t="s">
        <v>27</v>
      </c>
      <c r="F503" s="19" t="str">
        <f t="shared" si="1"/>
        <v>Medium</v>
      </c>
      <c r="G503" s="19">
        <v>950000</v>
      </c>
      <c r="H503" s="19" t="str">
        <f>IF(' BENGALURU HOUSE PRICE'!$G503&lt;=500000,"Low",
IF(' BENGALURU HOUSE PRICE'!$G503&lt;=1000000,"Medium",
IF(' BENGALURU HOUSE PRICE'!$G503&lt;=3000000,"High","Luxury")))</f>
        <v>Medium</v>
      </c>
    </row>
    <row r="504" spans="1:8" ht="15.75" customHeight="1" x14ac:dyDescent="0.25">
      <c r="A504" s="19" t="s">
        <v>214</v>
      </c>
      <c r="B504" s="19">
        <v>1300</v>
      </c>
      <c r="C504" s="19">
        <v>3</v>
      </c>
      <c r="D504" s="19">
        <v>1</v>
      </c>
      <c r="E504" s="23" t="s">
        <v>27</v>
      </c>
      <c r="F504" s="19" t="str">
        <f t="shared" si="1"/>
        <v>Medium</v>
      </c>
      <c r="G504" s="19">
        <v>580000</v>
      </c>
      <c r="H504" s="19" t="str">
        <f>IF(' BENGALURU HOUSE PRICE'!$G504&lt;=500000,"Low",
IF(' BENGALURU HOUSE PRICE'!$G504&lt;=1000000,"Medium",
IF(' BENGALURU HOUSE PRICE'!$G504&lt;=3000000,"High","Luxury")))</f>
        <v>Medium</v>
      </c>
    </row>
    <row r="505" spans="1:8" ht="15.75" customHeight="1" x14ac:dyDescent="0.25">
      <c r="A505" s="19" t="s">
        <v>113</v>
      </c>
      <c r="B505" s="19">
        <v>1545</v>
      </c>
      <c r="C505" s="19">
        <v>3</v>
      </c>
      <c r="D505" s="19">
        <v>1</v>
      </c>
      <c r="E505" s="23" t="s">
        <v>27</v>
      </c>
      <c r="F505" s="19" t="str">
        <f t="shared" si="1"/>
        <v>Medium</v>
      </c>
      <c r="G505" s="19">
        <v>687500</v>
      </c>
      <c r="H505" s="19" t="str">
        <f>IF(' BENGALURU HOUSE PRICE'!$G505&lt;=500000,"Low",
IF(' BENGALURU HOUSE PRICE'!$G505&lt;=1000000,"Medium",
IF(' BENGALURU HOUSE PRICE'!$G505&lt;=3000000,"High","Luxury")))</f>
        <v>Medium</v>
      </c>
    </row>
    <row r="506" spans="1:8" ht="15.75" customHeight="1" x14ac:dyDescent="0.25">
      <c r="A506" s="19" t="s">
        <v>286</v>
      </c>
      <c r="B506" s="19">
        <v>375</v>
      </c>
      <c r="C506" s="19">
        <v>2</v>
      </c>
      <c r="D506" s="19">
        <v>0</v>
      </c>
      <c r="E506" s="23" t="s">
        <v>267</v>
      </c>
      <c r="F506" s="19" t="str">
        <f t="shared" si="1"/>
        <v>Small</v>
      </c>
      <c r="G506" s="19">
        <v>260000</v>
      </c>
      <c r="H506" s="19" t="str">
        <f>IF(' BENGALURU HOUSE PRICE'!$G506&lt;=500000,"Low",
IF(' BENGALURU HOUSE PRICE'!$G506&lt;=1000000,"Medium",
IF(' BENGALURU HOUSE PRICE'!$G506&lt;=3000000,"High","Luxury")))</f>
        <v>Low</v>
      </c>
    </row>
    <row r="507" spans="1:8" ht="15.75" customHeight="1" x14ac:dyDescent="0.25">
      <c r="A507" s="19" t="s">
        <v>244</v>
      </c>
      <c r="B507" s="19">
        <v>1062</v>
      </c>
      <c r="C507" s="19">
        <v>2</v>
      </c>
      <c r="D507" s="19">
        <v>3</v>
      </c>
      <c r="E507" s="23" t="s">
        <v>262</v>
      </c>
      <c r="F507" s="19" t="str">
        <f t="shared" si="1"/>
        <v>Medium</v>
      </c>
      <c r="G507" s="19">
        <v>380000</v>
      </c>
      <c r="H507" s="19" t="str">
        <f>IF(' BENGALURU HOUSE PRICE'!$G507&lt;=500000,"Low",
IF(' BENGALURU HOUSE PRICE'!$G507&lt;=1000000,"Medium",
IF(' BENGALURU HOUSE PRICE'!$G507&lt;=3000000,"High","Luxury")))</f>
        <v>Low</v>
      </c>
    </row>
    <row r="508" spans="1:8" ht="15.75" customHeight="1" x14ac:dyDescent="0.25">
      <c r="A508" s="19" t="s">
        <v>368</v>
      </c>
      <c r="B508" s="19">
        <v>1115</v>
      </c>
      <c r="C508" s="19">
        <v>2</v>
      </c>
      <c r="D508" s="19">
        <v>1</v>
      </c>
      <c r="E508" s="23" t="s">
        <v>262</v>
      </c>
      <c r="F508" s="19" t="str">
        <f t="shared" si="1"/>
        <v>Medium</v>
      </c>
      <c r="G508" s="19">
        <v>400000</v>
      </c>
      <c r="H508" s="19" t="str">
        <f>IF(' BENGALURU HOUSE PRICE'!$G508&lt;=500000,"Low",
IF(' BENGALURU HOUSE PRICE'!$G508&lt;=1000000,"Medium",
IF(' BENGALURU HOUSE PRICE'!$G508&lt;=3000000,"High","Luxury")))</f>
        <v>Low</v>
      </c>
    </row>
    <row r="509" spans="1:8" ht="15.75" customHeight="1" x14ac:dyDescent="0.25">
      <c r="A509" s="19" t="s">
        <v>134</v>
      </c>
      <c r="B509" s="19">
        <v>1000</v>
      </c>
      <c r="C509" s="19">
        <v>2</v>
      </c>
      <c r="D509" s="19">
        <v>1</v>
      </c>
      <c r="E509" s="23" t="s">
        <v>262</v>
      </c>
      <c r="F509" s="19" t="str">
        <f t="shared" si="1"/>
        <v>Small</v>
      </c>
      <c r="G509" s="19">
        <v>350000</v>
      </c>
      <c r="H509" s="19" t="str">
        <f>IF(' BENGALURU HOUSE PRICE'!$G509&lt;=500000,"Low",
IF(' BENGALURU HOUSE PRICE'!$G509&lt;=1000000,"Medium",
IF(' BENGALURU HOUSE PRICE'!$G509&lt;=3000000,"High","Luxury")))</f>
        <v>Low</v>
      </c>
    </row>
    <row r="510" spans="1:8" ht="15.75" customHeight="1" x14ac:dyDescent="0.25">
      <c r="A510" s="19" t="s">
        <v>141</v>
      </c>
      <c r="B510" s="19">
        <v>883</v>
      </c>
      <c r="C510" s="19">
        <v>2</v>
      </c>
      <c r="D510" s="19">
        <v>1</v>
      </c>
      <c r="E510" s="23" t="s">
        <v>262</v>
      </c>
      <c r="F510" s="19" t="str">
        <f t="shared" si="1"/>
        <v>Small</v>
      </c>
      <c r="G510" s="19">
        <v>450000</v>
      </c>
      <c r="H510" s="19" t="str">
        <f>IF(' BENGALURU HOUSE PRICE'!$G510&lt;=500000,"Low",
IF(' BENGALURU HOUSE PRICE'!$G510&lt;=1000000,"Medium",
IF(' BENGALURU HOUSE PRICE'!$G510&lt;=3000000,"High","Luxury")))</f>
        <v>Low</v>
      </c>
    </row>
    <row r="511" spans="1:8" ht="15.75" customHeight="1" x14ac:dyDescent="0.25">
      <c r="A511" s="19" t="s">
        <v>22</v>
      </c>
      <c r="B511" s="19">
        <v>1195</v>
      </c>
      <c r="C511" s="19">
        <v>2</v>
      </c>
      <c r="D511" s="19">
        <v>1</v>
      </c>
      <c r="E511" s="23" t="s">
        <v>262</v>
      </c>
      <c r="F511" s="19" t="str">
        <f t="shared" si="1"/>
        <v>Medium</v>
      </c>
      <c r="G511" s="19">
        <v>700000</v>
      </c>
      <c r="H511" s="19" t="str">
        <f>IF(' BENGALURU HOUSE PRICE'!$G511&lt;=500000,"Low",
IF(' BENGALURU HOUSE PRICE'!$G511&lt;=1000000,"Medium",
IF(' BENGALURU HOUSE PRICE'!$G511&lt;=3000000,"High","Luxury")))</f>
        <v>Medium</v>
      </c>
    </row>
    <row r="512" spans="1:8" ht="15.75" customHeight="1" x14ac:dyDescent="0.25">
      <c r="A512" s="19" t="s">
        <v>369</v>
      </c>
      <c r="B512" s="19">
        <v>1200</v>
      </c>
      <c r="C512" s="19">
        <v>3</v>
      </c>
      <c r="D512" s="19">
        <v>1</v>
      </c>
      <c r="E512" s="23" t="s">
        <v>264</v>
      </c>
      <c r="F512" s="19" t="str">
        <f t="shared" ref="F512:F766" si="2">IF(B512&gt;2000,"Large",IF(B512&gt;1000,"Medium","Small"))</f>
        <v>Medium</v>
      </c>
      <c r="G512" s="19">
        <v>1650000</v>
      </c>
      <c r="H512" s="19" t="str">
        <f>IF(' BENGALURU HOUSE PRICE'!$G512&lt;=500000,"Low",
IF(' BENGALURU HOUSE PRICE'!$G512&lt;=1000000,"Medium",
IF(' BENGALURU HOUSE PRICE'!$G512&lt;=3000000,"High","Luxury")))</f>
        <v>High</v>
      </c>
    </row>
    <row r="513" spans="1:8" ht="15.75" customHeight="1" x14ac:dyDescent="0.25">
      <c r="A513" s="19" t="s">
        <v>370</v>
      </c>
      <c r="B513" s="19">
        <v>700</v>
      </c>
      <c r="C513" s="19">
        <v>1</v>
      </c>
      <c r="D513" s="19">
        <v>0</v>
      </c>
      <c r="E513" s="23" t="s">
        <v>267</v>
      </c>
      <c r="F513" s="19" t="str">
        <f t="shared" si="2"/>
        <v>Small</v>
      </c>
      <c r="G513" s="19">
        <v>410000</v>
      </c>
      <c r="H513" s="19" t="str">
        <f>IF(' BENGALURU HOUSE PRICE'!$G513&lt;=500000,"Low",
IF(' BENGALURU HOUSE PRICE'!$G513&lt;=1000000,"Medium",
IF(' BENGALURU HOUSE PRICE'!$G513&lt;=3000000,"High","Luxury")))</f>
        <v>Low</v>
      </c>
    </row>
    <row r="514" spans="1:8" ht="15.75" customHeight="1" x14ac:dyDescent="0.25">
      <c r="A514" s="19" t="s">
        <v>348</v>
      </c>
      <c r="B514" s="19">
        <v>1246</v>
      </c>
      <c r="C514" s="19">
        <v>2</v>
      </c>
      <c r="D514" s="19">
        <v>1</v>
      </c>
      <c r="E514" s="23" t="s">
        <v>262</v>
      </c>
      <c r="F514" s="19" t="str">
        <f t="shared" si="2"/>
        <v>Medium</v>
      </c>
      <c r="G514" s="19">
        <v>670000</v>
      </c>
      <c r="H514" s="19" t="str">
        <f>IF(' BENGALURU HOUSE PRICE'!$G514&lt;=500000,"Low",
IF(' BENGALURU HOUSE PRICE'!$G514&lt;=1000000,"Medium",
IF(' BENGALURU HOUSE PRICE'!$G514&lt;=3000000,"High","Luxury")))</f>
        <v>Medium</v>
      </c>
    </row>
    <row r="515" spans="1:8" ht="15.75" customHeight="1" x14ac:dyDescent="0.25">
      <c r="A515" s="19" t="s">
        <v>33</v>
      </c>
      <c r="B515" s="19">
        <v>660</v>
      </c>
      <c r="C515" s="19">
        <v>4</v>
      </c>
      <c r="D515" s="19">
        <v>2</v>
      </c>
      <c r="E515" s="23" t="s">
        <v>264</v>
      </c>
      <c r="F515" s="19" t="str">
        <f t="shared" si="2"/>
        <v>Small</v>
      </c>
      <c r="G515" s="19">
        <v>900000</v>
      </c>
      <c r="H515" s="19" t="str">
        <f>IF(' BENGALURU HOUSE PRICE'!$G515&lt;=500000,"Low",
IF(' BENGALURU HOUSE PRICE'!$G515&lt;=1000000,"Medium",
IF(' BENGALURU HOUSE PRICE'!$G515&lt;=3000000,"High","Luxury")))</f>
        <v>Medium</v>
      </c>
    </row>
    <row r="516" spans="1:8" ht="15.75" customHeight="1" x14ac:dyDescent="0.25">
      <c r="A516" s="19" t="s">
        <v>49</v>
      </c>
      <c r="B516" s="19">
        <v>8500</v>
      </c>
      <c r="C516" s="19">
        <v>4</v>
      </c>
      <c r="D516" s="19">
        <v>2</v>
      </c>
      <c r="E516" s="23" t="s">
        <v>264</v>
      </c>
      <c r="F516" s="19" t="str">
        <f t="shared" si="2"/>
        <v>Large</v>
      </c>
      <c r="G516" s="19">
        <v>1450000</v>
      </c>
      <c r="H516" s="19" t="str">
        <f>IF(' BENGALURU HOUSE PRICE'!$G516&lt;=500000,"Low",
IF(' BENGALURU HOUSE PRICE'!$G516&lt;=1000000,"Medium",
IF(' BENGALURU HOUSE PRICE'!$G516&lt;=3000000,"High","Luxury")))</f>
        <v>High</v>
      </c>
    </row>
    <row r="517" spans="1:8" ht="15.75" customHeight="1" x14ac:dyDescent="0.25">
      <c r="A517" s="19" t="s">
        <v>371</v>
      </c>
      <c r="B517" s="19">
        <v>1600</v>
      </c>
      <c r="C517" s="19">
        <v>4</v>
      </c>
      <c r="D517" s="19">
        <v>1</v>
      </c>
      <c r="E517" s="23" t="s">
        <v>264</v>
      </c>
      <c r="F517" s="19" t="str">
        <f t="shared" si="2"/>
        <v>Medium</v>
      </c>
      <c r="G517" s="19">
        <v>800000</v>
      </c>
      <c r="H517" s="19" t="str">
        <f>IF(' BENGALURU HOUSE PRICE'!$G517&lt;=500000,"Low",
IF(' BENGALURU HOUSE PRICE'!$G517&lt;=1000000,"Medium",
IF(' BENGALURU HOUSE PRICE'!$G517&lt;=3000000,"High","Luxury")))</f>
        <v>Medium</v>
      </c>
    </row>
    <row r="518" spans="1:8" ht="15.75" customHeight="1" x14ac:dyDescent="0.25">
      <c r="A518" s="19" t="s">
        <v>17</v>
      </c>
      <c r="B518" s="19">
        <v>2805</v>
      </c>
      <c r="C518" s="19">
        <v>5</v>
      </c>
      <c r="D518" s="19">
        <v>3</v>
      </c>
      <c r="E518" s="23" t="s">
        <v>264</v>
      </c>
      <c r="F518" s="19" t="str">
        <f t="shared" si="2"/>
        <v>Large</v>
      </c>
      <c r="G518" s="19">
        <v>1540000</v>
      </c>
      <c r="H518" s="19" t="str">
        <f>IF(' BENGALURU HOUSE PRICE'!$G518&lt;=500000,"Low",
IF(' BENGALURU HOUSE PRICE'!$G518&lt;=1000000,"Medium",
IF(' BENGALURU HOUSE PRICE'!$G518&lt;=3000000,"High","Luxury")))</f>
        <v>High</v>
      </c>
    </row>
    <row r="519" spans="1:8" ht="15.75" customHeight="1" x14ac:dyDescent="0.25">
      <c r="A519" s="19" t="s">
        <v>58</v>
      </c>
      <c r="B519" s="19">
        <v>1584</v>
      </c>
      <c r="C519" s="19">
        <v>3</v>
      </c>
      <c r="D519" s="19">
        <v>2</v>
      </c>
      <c r="E519" s="23" t="s">
        <v>27</v>
      </c>
      <c r="F519" s="19" t="str">
        <f t="shared" si="2"/>
        <v>Medium</v>
      </c>
      <c r="G519" s="19">
        <v>650000</v>
      </c>
      <c r="H519" s="19" t="str">
        <f>IF(' BENGALURU HOUSE PRICE'!$G519&lt;=500000,"Low",
IF(' BENGALURU HOUSE PRICE'!$G519&lt;=1000000,"Medium",
IF(' BENGALURU HOUSE PRICE'!$G519&lt;=3000000,"High","Luxury")))</f>
        <v>Medium</v>
      </c>
    </row>
    <row r="520" spans="1:8" ht="15.75" customHeight="1" x14ac:dyDescent="0.25">
      <c r="A520" s="19" t="s">
        <v>372</v>
      </c>
      <c r="B520" s="19">
        <v>3000</v>
      </c>
      <c r="C520" s="19">
        <v>5</v>
      </c>
      <c r="D520" s="19">
        <v>1</v>
      </c>
      <c r="E520" s="23" t="s">
        <v>264</v>
      </c>
      <c r="F520" s="19" t="str">
        <f t="shared" si="2"/>
        <v>Large</v>
      </c>
      <c r="G520" s="19">
        <v>2750000</v>
      </c>
      <c r="H520" s="19" t="str">
        <f>IF(' BENGALURU HOUSE PRICE'!$G520&lt;=500000,"Low",
IF(' BENGALURU HOUSE PRICE'!$G520&lt;=1000000,"Medium",
IF(' BENGALURU HOUSE PRICE'!$G520&lt;=3000000,"High","Luxury")))</f>
        <v>High</v>
      </c>
    </row>
    <row r="521" spans="1:8" ht="15.75" customHeight="1" x14ac:dyDescent="0.25">
      <c r="A521" s="19" t="s">
        <v>120</v>
      </c>
      <c r="B521" s="19">
        <v>1175</v>
      </c>
      <c r="C521" s="19">
        <v>2</v>
      </c>
      <c r="D521" s="19">
        <v>2</v>
      </c>
      <c r="E521" s="23" t="s">
        <v>27</v>
      </c>
      <c r="F521" s="19" t="str">
        <f t="shared" si="2"/>
        <v>Medium</v>
      </c>
      <c r="G521" s="19">
        <v>480000</v>
      </c>
      <c r="H521" s="19" t="str">
        <f>IF(' BENGALURU HOUSE PRICE'!$G521&lt;=500000,"Low",
IF(' BENGALURU HOUSE PRICE'!$G521&lt;=1000000,"Medium",
IF(' BENGALURU HOUSE PRICE'!$G521&lt;=3000000,"High","Luxury")))</f>
        <v>Low</v>
      </c>
    </row>
    <row r="522" spans="1:8" ht="15.75" customHeight="1" x14ac:dyDescent="0.25">
      <c r="A522" s="19" t="s">
        <v>249</v>
      </c>
      <c r="B522" s="19">
        <v>1595</v>
      </c>
      <c r="C522" s="19">
        <v>3</v>
      </c>
      <c r="D522" s="19">
        <v>2</v>
      </c>
      <c r="E522" s="23" t="s">
        <v>27</v>
      </c>
      <c r="F522" s="19" t="str">
        <f t="shared" si="2"/>
        <v>Medium</v>
      </c>
      <c r="G522" s="19">
        <v>1150000</v>
      </c>
      <c r="H522" s="19" t="str">
        <f>IF(' BENGALURU HOUSE PRICE'!$G522&lt;=500000,"Low",
IF(' BENGALURU HOUSE PRICE'!$G522&lt;=1000000,"Medium",
IF(' BENGALURU HOUSE PRICE'!$G522&lt;=3000000,"High","Luxury")))</f>
        <v>High</v>
      </c>
    </row>
    <row r="523" spans="1:8" ht="15.75" customHeight="1" x14ac:dyDescent="0.25">
      <c r="A523" s="19" t="s">
        <v>373</v>
      </c>
      <c r="B523" s="19">
        <v>1353</v>
      </c>
      <c r="C523" s="19">
        <v>2</v>
      </c>
      <c r="D523" s="19">
        <v>2</v>
      </c>
      <c r="E523" s="23" t="s">
        <v>262</v>
      </c>
      <c r="F523" s="19" t="str">
        <f t="shared" si="2"/>
        <v>Medium</v>
      </c>
      <c r="G523" s="19">
        <v>1100000</v>
      </c>
      <c r="H523" s="19" t="str">
        <f>IF(' BENGALURU HOUSE PRICE'!$G523&lt;=500000,"Low",
IF(' BENGALURU HOUSE PRICE'!$G523&lt;=1000000,"Medium",
IF(' BENGALURU HOUSE PRICE'!$G523&lt;=3000000,"High","Luxury")))</f>
        <v>High</v>
      </c>
    </row>
    <row r="524" spans="1:8" ht="15.75" customHeight="1" x14ac:dyDescent="0.25">
      <c r="A524" s="19" t="s">
        <v>16</v>
      </c>
      <c r="B524" s="19">
        <v>1599</v>
      </c>
      <c r="C524" s="19">
        <v>3</v>
      </c>
      <c r="D524" s="19">
        <v>2</v>
      </c>
      <c r="E524" s="23" t="s">
        <v>27</v>
      </c>
      <c r="F524" s="19" t="str">
        <f t="shared" si="2"/>
        <v>Medium</v>
      </c>
      <c r="G524" s="19">
        <v>1250000</v>
      </c>
      <c r="H524" s="19" t="str">
        <f>IF(' BENGALURU HOUSE PRICE'!$G524&lt;=500000,"Low",
IF(' BENGALURU HOUSE PRICE'!$G524&lt;=1000000,"Medium",
IF(' BENGALURU HOUSE PRICE'!$G524&lt;=3000000,"High","Luxury")))</f>
        <v>High</v>
      </c>
    </row>
    <row r="525" spans="1:8" ht="15.75" customHeight="1" x14ac:dyDescent="0.25">
      <c r="A525" s="19" t="s">
        <v>25</v>
      </c>
      <c r="B525" s="19">
        <v>1150</v>
      </c>
      <c r="C525" s="19">
        <v>2</v>
      </c>
      <c r="D525" s="19">
        <v>1</v>
      </c>
      <c r="E525" s="23" t="s">
        <v>262</v>
      </c>
      <c r="F525" s="19" t="str">
        <f t="shared" si="2"/>
        <v>Medium</v>
      </c>
      <c r="G525" s="19">
        <v>700000</v>
      </c>
      <c r="H525" s="19" t="str">
        <f>IF(' BENGALURU HOUSE PRICE'!$G525&lt;=500000,"Low",
IF(' BENGALURU HOUSE PRICE'!$G525&lt;=1000000,"Medium",
IF(' BENGALURU HOUSE PRICE'!$G525&lt;=3000000,"High","Luxury")))</f>
        <v>Medium</v>
      </c>
    </row>
    <row r="526" spans="1:8" ht="15.75" customHeight="1" x14ac:dyDescent="0.25">
      <c r="A526" s="19" t="s">
        <v>129</v>
      </c>
      <c r="B526" s="19">
        <v>5230</v>
      </c>
      <c r="C526" s="19">
        <v>6</v>
      </c>
      <c r="D526" s="19">
        <v>1</v>
      </c>
      <c r="E526" s="23" t="s">
        <v>264</v>
      </c>
      <c r="F526" s="19" t="str">
        <f t="shared" si="2"/>
        <v>Large</v>
      </c>
      <c r="G526" s="19">
        <v>4650000</v>
      </c>
      <c r="H526" s="19" t="str">
        <f>IF(' BENGALURU HOUSE PRICE'!$G526&lt;=500000,"Low",
IF(' BENGALURU HOUSE PRICE'!$G526&lt;=1000000,"Medium",
IF(' BENGALURU HOUSE PRICE'!$G526&lt;=3000000,"High","Luxury")))</f>
        <v>Luxury</v>
      </c>
    </row>
    <row r="527" spans="1:8" ht="15.75" customHeight="1" x14ac:dyDescent="0.25">
      <c r="A527" s="19" t="s">
        <v>273</v>
      </c>
      <c r="B527" s="19">
        <v>1155</v>
      </c>
      <c r="C527" s="19">
        <v>2</v>
      </c>
      <c r="D527" s="19">
        <v>2</v>
      </c>
      <c r="E527" s="23" t="s">
        <v>262</v>
      </c>
      <c r="F527" s="19" t="str">
        <f t="shared" si="2"/>
        <v>Medium</v>
      </c>
      <c r="G527" s="19">
        <v>427400</v>
      </c>
      <c r="H527" s="19" t="str">
        <f>IF(' BENGALURU HOUSE PRICE'!$G527&lt;=500000,"Low",
IF(' BENGALURU HOUSE PRICE'!$G527&lt;=1000000,"Medium",
IF(' BENGALURU HOUSE PRICE'!$G527&lt;=3000000,"High","Luxury")))</f>
        <v>Low</v>
      </c>
    </row>
    <row r="528" spans="1:8" ht="15.75" customHeight="1" x14ac:dyDescent="0.25">
      <c r="A528" s="19" t="s">
        <v>374</v>
      </c>
      <c r="B528" s="19">
        <v>1200</v>
      </c>
      <c r="C528" s="19">
        <v>2</v>
      </c>
      <c r="D528" s="19">
        <v>0</v>
      </c>
      <c r="E528" s="23" t="s">
        <v>267</v>
      </c>
      <c r="F528" s="19" t="str">
        <f t="shared" si="2"/>
        <v>Medium</v>
      </c>
      <c r="G528" s="19">
        <v>850000</v>
      </c>
      <c r="H528" s="19" t="str">
        <f>IF(' BENGALURU HOUSE PRICE'!$G528&lt;=500000,"Low",
IF(' BENGALURU HOUSE PRICE'!$G528&lt;=1000000,"Medium",
IF(' BENGALURU HOUSE PRICE'!$G528&lt;=3000000,"High","Luxury")))</f>
        <v>Medium</v>
      </c>
    </row>
    <row r="529" spans="1:8" ht="15.75" customHeight="1" x14ac:dyDescent="0.25">
      <c r="A529" s="19" t="s">
        <v>96</v>
      </c>
      <c r="B529" s="19">
        <v>1000</v>
      </c>
      <c r="C529" s="19">
        <v>2</v>
      </c>
      <c r="D529" s="19">
        <v>1</v>
      </c>
      <c r="E529" s="23" t="s">
        <v>262</v>
      </c>
      <c r="F529" s="19" t="str">
        <f t="shared" si="2"/>
        <v>Small</v>
      </c>
      <c r="G529" s="19">
        <v>250000</v>
      </c>
      <c r="H529" s="19" t="str">
        <f>IF(' BENGALURU HOUSE PRICE'!$G529&lt;=500000,"Low",
IF(' BENGALURU HOUSE PRICE'!$G529&lt;=1000000,"Medium",
IF(' BENGALURU HOUSE PRICE'!$G529&lt;=3000000,"High","Luxury")))</f>
        <v>Low</v>
      </c>
    </row>
    <row r="530" spans="1:8" ht="15.75" customHeight="1" x14ac:dyDescent="0.25">
      <c r="A530" s="19" t="s">
        <v>23</v>
      </c>
      <c r="B530" s="19">
        <v>3000</v>
      </c>
      <c r="C530" s="19">
        <v>4</v>
      </c>
      <c r="D530" s="19">
        <v>2</v>
      </c>
      <c r="E530" s="23" t="s">
        <v>264</v>
      </c>
      <c r="F530" s="19" t="str">
        <f t="shared" si="2"/>
        <v>Large</v>
      </c>
      <c r="G530" s="19">
        <v>1200000</v>
      </c>
      <c r="H530" s="19" t="str">
        <f>IF(' BENGALURU HOUSE PRICE'!$G530&lt;=500000,"Low",
IF(' BENGALURU HOUSE PRICE'!$G530&lt;=1000000,"Medium",
IF(' BENGALURU HOUSE PRICE'!$G530&lt;=3000000,"High","Luxury")))</f>
        <v>High</v>
      </c>
    </row>
    <row r="531" spans="1:8" ht="15.75" customHeight="1" x14ac:dyDescent="0.25">
      <c r="A531" s="19" t="s">
        <v>198</v>
      </c>
      <c r="B531" s="19">
        <v>1867</v>
      </c>
      <c r="C531" s="19">
        <v>3</v>
      </c>
      <c r="D531" s="19">
        <v>1</v>
      </c>
      <c r="E531" s="23" t="s">
        <v>27</v>
      </c>
      <c r="F531" s="19" t="str">
        <f t="shared" si="2"/>
        <v>Medium</v>
      </c>
      <c r="G531" s="19">
        <v>1600000</v>
      </c>
      <c r="H531" s="19" t="str">
        <f>IF(' BENGALURU HOUSE PRICE'!$G531&lt;=500000,"Low",
IF(' BENGALURU HOUSE PRICE'!$G531&lt;=1000000,"Medium",
IF(' BENGALURU HOUSE PRICE'!$G531&lt;=3000000,"High","Luxury")))</f>
        <v>High</v>
      </c>
    </row>
    <row r="532" spans="1:8" ht="15.75" customHeight="1" x14ac:dyDescent="0.25">
      <c r="A532" s="19" t="s">
        <v>268</v>
      </c>
      <c r="B532" s="19">
        <v>1251</v>
      </c>
      <c r="C532" s="19">
        <v>2</v>
      </c>
      <c r="D532" s="19">
        <v>1</v>
      </c>
      <c r="E532" s="23" t="s">
        <v>262</v>
      </c>
      <c r="F532" s="19" t="str">
        <f t="shared" si="2"/>
        <v>Medium</v>
      </c>
      <c r="G532" s="19">
        <v>470000</v>
      </c>
      <c r="H532" s="19" t="str">
        <f>IF(' BENGALURU HOUSE PRICE'!$G532&lt;=500000,"Low",
IF(' BENGALURU HOUSE PRICE'!$G532&lt;=1000000,"Medium",
IF(' BENGALURU HOUSE PRICE'!$G532&lt;=3000000,"High","Luxury")))</f>
        <v>Low</v>
      </c>
    </row>
    <row r="533" spans="1:8" ht="15.75" customHeight="1" x14ac:dyDescent="0.25">
      <c r="A533" s="19" t="s">
        <v>375</v>
      </c>
      <c r="B533" s="19">
        <v>1028</v>
      </c>
      <c r="C533" s="19">
        <v>2</v>
      </c>
      <c r="D533" s="19">
        <v>1</v>
      </c>
      <c r="E533" s="23" t="s">
        <v>262</v>
      </c>
      <c r="F533" s="19" t="str">
        <f t="shared" si="2"/>
        <v>Medium</v>
      </c>
      <c r="G533" s="19">
        <v>455000</v>
      </c>
      <c r="H533" s="19" t="str">
        <f>IF(' BENGALURU HOUSE PRICE'!$G533&lt;=500000,"Low",
IF(' BENGALURU HOUSE PRICE'!$G533&lt;=1000000,"Medium",
IF(' BENGALURU HOUSE PRICE'!$G533&lt;=3000000,"High","Luxury")))</f>
        <v>Low</v>
      </c>
    </row>
    <row r="534" spans="1:8" ht="15.75" customHeight="1" x14ac:dyDescent="0.25">
      <c r="A534" s="19" t="s">
        <v>42</v>
      </c>
      <c r="B534" s="19">
        <v>1222</v>
      </c>
      <c r="C534" s="19">
        <v>2</v>
      </c>
      <c r="D534" s="19">
        <v>2</v>
      </c>
      <c r="E534" s="23" t="s">
        <v>262</v>
      </c>
      <c r="F534" s="19" t="str">
        <f t="shared" si="2"/>
        <v>Medium</v>
      </c>
      <c r="G534" s="19">
        <v>450000</v>
      </c>
      <c r="H534" s="19" t="str">
        <f>IF(' BENGALURU HOUSE PRICE'!$G534&lt;=500000,"Low",
IF(' BENGALURU HOUSE PRICE'!$G534&lt;=1000000,"Medium",
IF(' BENGALURU HOUSE PRICE'!$G534&lt;=3000000,"High","Luxury")))</f>
        <v>Low</v>
      </c>
    </row>
    <row r="535" spans="1:8" ht="15.75" customHeight="1" x14ac:dyDescent="0.25">
      <c r="A535" s="19" t="s">
        <v>52</v>
      </c>
      <c r="B535" s="19">
        <v>1170</v>
      </c>
      <c r="C535" s="19">
        <v>2</v>
      </c>
      <c r="D535" s="19">
        <v>1</v>
      </c>
      <c r="E535" s="23" t="s">
        <v>27</v>
      </c>
      <c r="F535" s="19" t="str">
        <f t="shared" si="2"/>
        <v>Medium</v>
      </c>
      <c r="G535" s="19">
        <v>660000</v>
      </c>
      <c r="H535" s="19" t="str">
        <f>IF(' BENGALURU HOUSE PRICE'!$G535&lt;=500000,"Low",
IF(' BENGALURU HOUSE PRICE'!$G535&lt;=1000000,"Medium",
IF(' BENGALURU HOUSE PRICE'!$G535&lt;=3000000,"High","Luxury")))</f>
        <v>Medium</v>
      </c>
    </row>
    <row r="536" spans="1:8" ht="15.75" customHeight="1" x14ac:dyDescent="0.25">
      <c r="A536" s="19" t="s">
        <v>18</v>
      </c>
      <c r="B536" s="19">
        <v>2400</v>
      </c>
      <c r="C536" s="19">
        <v>4</v>
      </c>
      <c r="D536" s="19">
        <v>1</v>
      </c>
      <c r="E536" s="23" t="s">
        <v>27</v>
      </c>
      <c r="F536" s="19" t="str">
        <f t="shared" si="2"/>
        <v>Large</v>
      </c>
      <c r="G536" s="19">
        <v>2450000</v>
      </c>
      <c r="H536" s="19" t="str">
        <f>IF(' BENGALURU HOUSE PRICE'!$G536&lt;=500000,"Low",
IF(' BENGALURU HOUSE PRICE'!$G536&lt;=1000000,"Medium",
IF(' BENGALURU HOUSE PRICE'!$G536&lt;=3000000,"High","Luxury")))</f>
        <v>High</v>
      </c>
    </row>
    <row r="537" spans="1:8" ht="15.75" customHeight="1" x14ac:dyDescent="0.25">
      <c r="A537" s="19" t="s">
        <v>200</v>
      </c>
      <c r="B537" s="19">
        <v>1385</v>
      </c>
      <c r="C537" s="19">
        <v>2</v>
      </c>
      <c r="D537" s="19">
        <v>2</v>
      </c>
      <c r="E537" s="23" t="s">
        <v>27</v>
      </c>
      <c r="F537" s="19" t="str">
        <f t="shared" si="2"/>
        <v>Medium</v>
      </c>
      <c r="G537" s="19">
        <v>484800</v>
      </c>
      <c r="H537" s="19" t="str">
        <f>IF(' BENGALURU HOUSE PRICE'!$G537&lt;=500000,"Low",
IF(' BENGALURU HOUSE PRICE'!$G537&lt;=1000000,"Medium",
IF(' BENGALURU HOUSE PRICE'!$G537&lt;=3000000,"High","Luxury")))</f>
        <v>Low</v>
      </c>
    </row>
    <row r="538" spans="1:8" ht="15.75" customHeight="1" x14ac:dyDescent="0.25">
      <c r="A538" s="19" t="s">
        <v>122</v>
      </c>
      <c r="B538" s="19">
        <v>1372</v>
      </c>
      <c r="C538" s="19">
        <v>2</v>
      </c>
      <c r="D538" s="19">
        <v>1</v>
      </c>
      <c r="E538" s="23" t="s">
        <v>262</v>
      </c>
      <c r="F538" s="19" t="str">
        <f t="shared" si="2"/>
        <v>Medium</v>
      </c>
      <c r="G538" s="19">
        <v>680000</v>
      </c>
      <c r="H538" s="19" t="str">
        <f>IF(' BENGALURU HOUSE PRICE'!$G538&lt;=500000,"Low",
IF(' BENGALURU HOUSE PRICE'!$G538&lt;=1000000,"Medium",
IF(' BENGALURU HOUSE PRICE'!$G538&lt;=3000000,"High","Luxury")))</f>
        <v>Medium</v>
      </c>
    </row>
    <row r="539" spans="1:8" ht="15.75" customHeight="1" x14ac:dyDescent="0.25">
      <c r="A539" s="19" t="s">
        <v>168</v>
      </c>
      <c r="B539" s="19">
        <v>1282</v>
      </c>
      <c r="C539" s="19">
        <v>2</v>
      </c>
      <c r="D539" s="19">
        <v>2</v>
      </c>
      <c r="E539" s="23" t="s">
        <v>27</v>
      </c>
      <c r="F539" s="19" t="str">
        <f t="shared" si="2"/>
        <v>Medium</v>
      </c>
      <c r="G539" s="19">
        <v>490000</v>
      </c>
      <c r="H539" s="19" t="str">
        <f>IF(' BENGALURU HOUSE PRICE'!$G539&lt;=500000,"Low",
IF(' BENGALURU HOUSE PRICE'!$G539&lt;=1000000,"Medium",
IF(' BENGALURU HOUSE PRICE'!$G539&lt;=3000000,"High","Luxury")))</f>
        <v>Low</v>
      </c>
    </row>
    <row r="540" spans="1:8" ht="15.75" customHeight="1" x14ac:dyDescent="0.25">
      <c r="A540" s="19" t="s">
        <v>376</v>
      </c>
      <c r="B540" s="19">
        <v>5000</v>
      </c>
      <c r="C540" s="19">
        <v>9</v>
      </c>
      <c r="D540" s="19">
        <v>3</v>
      </c>
      <c r="E540" s="23" t="s">
        <v>377</v>
      </c>
      <c r="F540" s="19" t="str">
        <f t="shared" si="2"/>
        <v>Large</v>
      </c>
      <c r="G540" s="19">
        <v>2100000</v>
      </c>
      <c r="H540" s="19" t="str">
        <f>IF(' BENGALURU HOUSE PRICE'!$G540&lt;=500000,"Low",
IF(' BENGALURU HOUSE PRICE'!$G540&lt;=1000000,"Medium",
IF(' BENGALURU HOUSE PRICE'!$G540&lt;=3000000,"High","Luxury")))</f>
        <v>High</v>
      </c>
    </row>
    <row r="541" spans="1:8" ht="15.75" customHeight="1" x14ac:dyDescent="0.25">
      <c r="A541" s="19" t="s">
        <v>378</v>
      </c>
      <c r="B541" s="19">
        <v>3000</v>
      </c>
      <c r="C541" s="19">
        <v>3</v>
      </c>
      <c r="D541" s="19">
        <v>1</v>
      </c>
      <c r="E541" s="23" t="s">
        <v>292</v>
      </c>
      <c r="F541" s="19" t="str">
        <f t="shared" si="2"/>
        <v>Large</v>
      </c>
      <c r="G541" s="19">
        <v>5280000</v>
      </c>
      <c r="H541" s="19" t="str">
        <f>IF(' BENGALURU HOUSE PRICE'!$G541&lt;=500000,"Low",
IF(' BENGALURU HOUSE PRICE'!$G541&lt;=1000000,"Medium",
IF(' BENGALURU HOUSE PRICE'!$G541&lt;=3000000,"High","Luxury")))</f>
        <v>Luxury</v>
      </c>
    </row>
    <row r="542" spans="1:8" ht="15.75" customHeight="1" x14ac:dyDescent="0.25">
      <c r="A542" s="19" t="s">
        <v>19</v>
      </c>
      <c r="B542" s="19">
        <v>1135</v>
      </c>
      <c r="C542" s="19">
        <v>2</v>
      </c>
      <c r="D542" s="19">
        <v>1</v>
      </c>
      <c r="E542" s="23" t="s">
        <v>262</v>
      </c>
      <c r="F542" s="19" t="str">
        <f t="shared" si="2"/>
        <v>Medium</v>
      </c>
      <c r="G542" s="19">
        <v>397300</v>
      </c>
      <c r="H542" s="19" t="str">
        <f>IF(' BENGALURU HOUSE PRICE'!$G542&lt;=500000,"Low",
IF(' BENGALURU HOUSE PRICE'!$G542&lt;=1000000,"Medium",
IF(' BENGALURU HOUSE PRICE'!$G542&lt;=3000000,"High","Luxury")))</f>
        <v>Low</v>
      </c>
    </row>
    <row r="543" spans="1:8" ht="15.75" customHeight="1" x14ac:dyDescent="0.25">
      <c r="A543" s="19" t="s">
        <v>25</v>
      </c>
      <c r="B543" s="19">
        <v>1768</v>
      </c>
      <c r="C543" s="19">
        <v>3</v>
      </c>
      <c r="D543" s="19">
        <v>2</v>
      </c>
      <c r="E543" s="23" t="s">
        <v>27</v>
      </c>
      <c r="F543" s="19" t="str">
        <f t="shared" si="2"/>
        <v>Medium</v>
      </c>
      <c r="G543" s="19">
        <v>1010000</v>
      </c>
      <c r="H543" s="19" t="str">
        <f>IF(' BENGALURU HOUSE PRICE'!$G543&lt;=500000,"Low",
IF(' BENGALURU HOUSE PRICE'!$G543&lt;=1000000,"Medium",
IF(' BENGALURU HOUSE PRICE'!$G543&lt;=3000000,"High","Luxury")))</f>
        <v>High</v>
      </c>
    </row>
    <row r="544" spans="1:8" ht="15.75" customHeight="1" x14ac:dyDescent="0.25">
      <c r="A544" s="19" t="s">
        <v>71</v>
      </c>
      <c r="B544" s="19">
        <v>1325</v>
      </c>
      <c r="C544" s="19">
        <v>2</v>
      </c>
      <c r="D544" s="19">
        <v>1</v>
      </c>
      <c r="E544" s="23" t="s">
        <v>27</v>
      </c>
      <c r="F544" s="19" t="str">
        <f t="shared" si="2"/>
        <v>Medium</v>
      </c>
      <c r="G544" s="19">
        <v>900000</v>
      </c>
      <c r="H544" s="19" t="str">
        <f>IF(' BENGALURU HOUSE PRICE'!$G544&lt;=500000,"Low",
IF(' BENGALURU HOUSE PRICE'!$G544&lt;=1000000,"Medium",
IF(' BENGALURU HOUSE PRICE'!$G544&lt;=3000000,"High","Luxury")))</f>
        <v>Medium</v>
      </c>
    </row>
    <row r="545" spans="1:8" ht="15.75" customHeight="1" x14ac:dyDescent="0.25">
      <c r="A545" s="19" t="s">
        <v>16</v>
      </c>
      <c r="B545" s="19">
        <v>1599</v>
      </c>
      <c r="C545" s="19">
        <v>3</v>
      </c>
      <c r="D545" s="19">
        <v>2</v>
      </c>
      <c r="E545" s="23" t="s">
        <v>27</v>
      </c>
      <c r="F545" s="19" t="str">
        <f t="shared" si="2"/>
        <v>Medium</v>
      </c>
      <c r="G545" s="19">
        <v>990000</v>
      </c>
      <c r="H545" s="19" t="str">
        <f>IF(' BENGALURU HOUSE PRICE'!$G545&lt;=500000,"Low",
IF(' BENGALURU HOUSE PRICE'!$G545&lt;=1000000,"Medium",
IF(' BENGALURU HOUSE PRICE'!$G545&lt;=3000000,"High","Luxury")))</f>
        <v>Medium</v>
      </c>
    </row>
    <row r="546" spans="1:8" ht="15.75" customHeight="1" x14ac:dyDescent="0.25">
      <c r="A546" s="19" t="s">
        <v>25</v>
      </c>
      <c r="B546" s="19">
        <v>1500</v>
      </c>
      <c r="C546" s="19">
        <v>3</v>
      </c>
      <c r="D546" s="19">
        <v>1</v>
      </c>
      <c r="E546" s="23" t="s">
        <v>27</v>
      </c>
      <c r="F546" s="19" t="str">
        <f t="shared" si="2"/>
        <v>Medium</v>
      </c>
      <c r="G546" s="19">
        <v>619500</v>
      </c>
      <c r="H546" s="19" t="str">
        <f>IF(' BENGALURU HOUSE PRICE'!$G546&lt;=500000,"Low",
IF(' BENGALURU HOUSE PRICE'!$G546&lt;=1000000,"Medium",
IF(' BENGALURU HOUSE PRICE'!$G546&lt;=3000000,"High","Luxury")))</f>
        <v>Medium</v>
      </c>
    </row>
    <row r="547" spans="1:8" ht="15.75" customHeight="1" x14ac:dyDescent="0.25">
      <c r="A547" s="19" t="s">
        <v>30</v>
      </c>
      <c r="B547" s="19">
        <v>2610</v>
      </c>
      <c r="C547" s="19">
        <v>3</v>
      </c>
      <c r="D547" s="19">
        <v>0</v>
      </c>
      <c r="E547" s="23" t="s">
        <v>27</v>
      </c>
      <c r="F547" s="19" t="str">
        <f t="shared" si="2"/>
        <v>Large</v>
      </c>
      <c r="G547" s="19">
        <v>4990000</v>
      </c>
      <c r="H547" s="19" t="str">
        <f>IF(' BENGALURU HOUSE PRICE'!$G547&lt;=500000,"Low",
IF(' BENGALURU HOUSE PRICE'!$G547&lt;=1000000,"Medium",
IF(' BENGALURU HOUSE PRICE'!$G547&lt;=3000000,"High","Luxury")))</f>
        <v>Luxury</v>
      </c>
    </row>
    <row r="548" spans="1:8" ht="15.75" customHeight="1" x14ac:dyDescent="0.25">
      <c r="A548" s="19" t="s">
        <v>24</v>
      </c>
      <c r="B548" s="19">
        <v>1286</v>
      </c>
      <c r="C548" s="19">
        <v>2</v>
      </c>
      <c r="D548" s="19">
        <v>2</v>
      </c>
      <c r="E548" s="23" t="s">
        <v>262</v>
      </c>
      <c r="F548" s="19" t="str">
        <f t="shared" si="2"/>
        <v>Medium</v>
      </c>
      <c r="G548" s="19">
        <v>630000</v>
      </c>
      <c r="H548" s="19" t="str">
        <f>IF(' BENGALURU HOUSE PRICE'!$G548&lt;=500000,"Low",
IF(' BENGALURU HOUSE PRICE'!$G548&lt;=1000000,"Medium",
IF(' BENGALURU HOUSE PRICE'!$G548&lt;=3000000,"High","Luxury")))</f>
        <v>Medium</v>
      </c>
    </row>
    <row r="549" spans="1:8" ht="15.75" customHeight="1" x14ac:dyDescent="0.25">
      <c r="A549" s="19" t="s">
        <v>379</v>
      </c>
      <c r="B549" s="19">
        <v>2845</v>
      </c>
      <c r="C549" s="19">
        <v>5</v>
      </c>
      <c r="D549" s="19">
        <v>1</v>
      </c>
      <c r="E549" s="23" t="s">
        <v>292</v>
      </c>
      <c r="F549" s="19" t="str">
        <f t="shared" si="2"/>
        <v>Large</v>
      </c>
      <c r="G549" s="19">
        <v>1400000</v>
      </c>
      <c r="H549" s="19" t="str">
        <f>IF(' BENGALURU HOUSE PRICE'!$G549&lt;=500000,"Low",
IF(' BENGALURU HOUSE PRICE'!$G549&lt;=1000000,"Medium",
IF(' BENGALURU HOUSE PRICE'!$G549&lt;=3000000,"High","Luxury")))</f>
        <v>High</v>
      </c>
    </row>
    <row r="550" spans="1:8" ht="15.75" customHeight="1" x14ac:dyDescent="0.25">
      <c r="A550" s="19" t="s">
        <v>135</v>
      </c>
      <c r="B550" s="19">
        <v>1600</v>
      </c>
      <c r="C550" s="19">
        <v>2</v>
      </c>
      <c r="D550" s="19">
        <v>2</v>
      </c>
      <c r="E550" s="23" t="s">
        <v>27</v>
      </c>
      <c r="F550" s="19" t="str">
        <f t="shared" si="2"/>
        <v>Medium</v>
      </c>
      <c r="G550" s="19">
        <v>500000</v>
      </c>
      <c r="H550" s="19" t="str">
        <f>IF(' BENGALURU HOUSE PRICE'!$G550&lt;=500000,"Low",
IF(' BENGALURU HOUSE PRICE'!$G550&lt;=1000000,"Medium",
IF(' BENGALURU HOUSE PRICE'!$G550&lt;=3000000,"High","Luxury")))</f>
        <v>Low</v>
      </c>
    </row>
    <row r="551" spans="1:8" ht="15.75" customHeight="1" x14ac:dyDescent="0.25">
      <c r="A551" s="19" t="s">
        <v>111</v>
      </c>
      <c r="B551" s="19">
        <v>1559</v>
      </c>
      <c r="C551" s="19">
        <v>2</v>
      </c>
      <c r="D551" s="19">
        <v>0</v>
      </c>
      <c r="E551" s="23" t="s">
        <v>262</v>
      </c>
      <c r="F551" s="19" t="str">
        <f t="shared" si="2"/>
        <v>Medium</v>
      </c>
      <c r="G551" s="19">
        <v>637700</v>
      </c>
      <c r="H551" s="19" t="str">
        <f>IF(' BENGALURU HOUSE PRICE'!$G551&lt;=500000,"Low",
IF(' BENGALURU HOUSE PRICE'!$G551&lt;=1000000,"Medium",
IF(' BENGALURU HOUSE PRICE'!$G551&lt;=3000000,"High","Luxury")))</f>
        <v>Medium</v>
      </c>
    </row>
    <row r="552" spans="1:8" ht="15.75" customHeight="1" x14ac:dyDescent="0.25">
      <c r="A552" s="19" t="s">
        <v>18</v>
      </c>
      <c r="B552" s="19">
        <v>3450</v>
      </c>
      <c r="C552" s="19">
        <v>5</v>
      </c>
      <c r="D552" s="19">
        <v>2</v>
      </c>
      <c r="E552" s="23" t="s">
        <v>27</v>
      </c>
      <c r="F552" s="19" t="str">
        <f t="shared" si="2"/>
        <v>Large</v>
      </c>
      <c r="G552" s="19">
        <v>2600000</v>
      </c>
      <c r="H552" s="19" t="str">
        <f>IF(' BENGALURU HOUSE PRICE'!$G552&lt;=500000,"Low",
IF(' BENGALURU HOUSE PRICE'!$G552&lt;=1000000,"Medium",
IF(' BENGALURU HOUSE PRICE'!$G552&lt;=3000000,"High","Luxury")))</f>
        <v>High</v>
      </c>
    </row>
    <row r="553" spans="1:8" ht="15.75" customHeight="1" x14ac:dyDescent="0.25">
      <c r="A553" s="19" t="s">
        <v>327</v>
      </c>
      <c r="B553" s="19">
        <v>1102</v>
      </c>
      <c r="C553" s="19">
        <v>2</v>
      </c>
      <c r="D553" s="19">
        <v>2</v>
      </c>
      <c r="E553" s="23" t="s">
        <v>262</v>
      </c>
      <c r="F553" s="19" t="str">
        <f t="shared" si="2"/>
        <v>Medium</v>
      </c>
      <c r="G553" s="19">
        <v>536700</v>
      </c>
      <c r="H553" s="19" t="str">
        <f>IF(' BENGALURU HOUSE PRICE'!$G553&lt;=500000,"Low",
IF(' BENGALURU HOUSE PRICE'!$G553&lt;=1000000,"Medium",
IF(' BENGALURU HOUSE PRICE'!$G553&lt;=3000000,"High","Luxury")))</f>
        <v>Medium</v>
      </c>
    </row>
    <row r="554" spans="1:8" ht="15.75" customHeight="1" x14ac:dyDescent="0.25">
      <c r="A554" s="19" t="s">
        <v>26</v>
      </c>
      <c r="B554" s="19">
        <v>1350</v>
      </c>
      <c r="C554" s="19">
        <v>2</v>
      </c>
      <c r="D554" s="19">
        <v>2</v>
      </c>
      <c r="E554" s="23" t="s">
        <v>262</v>
      </c>
      <c r="F554" s="19" t="str">
        <f t="shared" si="2"/>
        <v>Medium</v>
      </c>
      <c r="G554" s="19">
        <v>540000</v>
      </c>
      <c r="H554" s="19" t="str">
        <f>IF(' BENGALURU HOUSE PRICE'!$G554&lt;=500000,"Low",
IF(' BENGALURU HOUSE PRICE'!$G554&lt;=1000000,"Medium",
IF(' BENGALURU HOUSE PRICE'!$G554&lt;=3000000,"High","Luxury")))</f>
        <v>Medium</v>
      </c>
    </row>
    <row r="555" spans="1:8" ht="15.75" customHeight="1" x14ac:dyDescent="0.25">
      <c r="A555" s="19" t="s">
        <v>48</v>
      </c>
      <c r="B555" s="19">
        <v>1200</v>
      </c>
      <c r="C555" s="19">
        <v>2</v>
      </c>
      <c r="D555" s="19">
        <v>2</v>
      </c>
      <c r="E555" s="23" t="s">
        <v>27</v>
      </c>
      <c r="F555" s="19" t="str">
        <f t="shared" si="2"/>
        <v>Medium</v>
      </c>
      <c r="G555" s="19">
        <v>420000</v>
      </c>
      <c r="H555" s="19" t="str">
        <f>IF(' BENGALURU HOUSE PRICE'!$G555&lt;=500000,"Low",
IF(' BENGALURU HOUSE PRICE'!$G555&lt;=1000000,"Medium",
IF(' BENGALURU HOUSE PRICE'!$G555&lt;=3000000,"High","Luxury")))</f>
        <v>Low</v>
      </c>
    </row>
    <row r="556" spans="1:8" ht="15.75" customHeight="1" x14ac:dyDescent="0.25">
      <c r="A556" s="19" t="s">
        <v>117</v>
      </c>
      <c r="B556" s="19">
        <v>1300</v>
      </c>
      <c r="C556" s="19">
        <v>6</v>
      </c>
      <c r="D556" s="19">
        <v>0</v>
      </c>
      <c r="E556" s="23" t="s">
        <v>266</v>
      </c>
      <c r="F556" s="19" t="str">
        <f t="shared" si="2"/>
        <v>Medium</v>
      </c>
      <c r="G556" s="19">
        <v>1450000</v>
      </c>
      <c r="H556" s="19" t="str">
        <f>IF(' BENGALURU HOUSE PRICE'!$G556&lt;=500000,"Low",
IF(' BENGALURU HOUSE PRICE'!$G556&lt;=1000000,"Medium",
IF(' BENGALURU HOUSE PRICE'!$G556&lt;=3000000,"High","Luxury")))</f>
        <v>High</v>
      </c>
    </row>
    <row r="557" spans="1:8" ht="15.75" customHeight="1" x14ac:dyDescent="0.25">
      <c r="A557" s="19" t="s">
        <v>112</v>
      </c>
      <c r="B557" s="19">
        <v>1800</v>
      </c>
      <c r="C557" s="19">
        <v>1</v>
      </c>
      <c r="D557" s="19">
        <v>1</v>
      </c>
      <c r="E557" s="23" t="s">
        <v>262</v>
      </c>
      <c r="F557" s="19" t="str">
        <f t="shared" si="2"/>
        <v>Medium</v>
      </c>
      <c r="G557" s="19">
        <v>800000</v>
      </c>
      <c r="H557" s="19" t="str">
        <f>IF(' BENGALURU HOUSE PRICE'!$G557&lt;=500000,"Low",
IF(' BENGALURU HOUSE PRICE'!$G557&lt;=1000000,"Medium",
IF(' BENGALURU HOUSE PRICE'!$G557&lt;=3000000,"High","Luxury")))</f>
        <v>Medium</v>
      </c>
    </row>
    <row r="558" spans="1:8" ht="15.75" customHeight="1" x14ac:dyDescent="0.25">
      <c r="A558" s="19" t="s">
        <v>380</v>
      </c>
      <c r="B558" s="19">
        <v>950</v>
      </c>
      <c r="C558" s="19">
        <v>2</v>
      </c>
      <c r="D558" s="19">
        <v>1</v>
      </c>
      <c r="E558" s="23" t="s">
        <v>262</v>
      </c>
      <c r="F558" s="19" t="str">
        <f t="shared" si="2"/>
        <v>Small</v>
      </c>
      <c r="G558" s="19">
        <v>400000</v>
      </c>
      <c r="H558" s="19" t="str">
        <f>IF(' BENGALURU HOUSE PRICE'!$G558&lt;=500000,"Low",
IF(' BENGALURU HOUSE PRICE'!$G558&lt;=1000000,"Medium",
IF(' BENGALURU HOUSE PRICE'!$G558&lt;=3000000,"High","Luxury")))</f>
        <v>Low</v>
      </c>
    </row>
    <row r="559" spans="1:8" ht="15.75" customHeight="1" x14ac:dyDescent="0.25">
      <c r="A559" s="19" t="s">
        <v>19</v>
      </c>
      <c r="B559" s="19">
        <v>525</v>
      </c>
      <c r="C559" s="19">
        <v>1</v>
      </c>
      <c r="D559" s="19">
        <v>1</v>
      </c>
      <c r="E559" s="23" t="s">
        <v>267</v>
      </c>
      <c r="F559" s="19" t="str">
        <f t="shared" si="2"/>
        <v>Small</v>
      </c>
      <c r="G559" s="19">
        <v>272500</v>
      </c>
      <c r="H559" s="19" t="str">
        <f>IF(' BENGALURU HOUSE PRICE'!$G559&lt;=500000,"Low",
IF(' BENGALURU HOUSE PRICE'!$G559&lt;=1000000,"Medium",
IF(' BENGALURU HOUSE PRICE'!$G559&lt;=3000000,"High","Luxury")))</f>
        <v>Low</v>
      </c>
    </row>
    <row r="560" spans="1:8" ht="15.75" customHeight="1" x14ac:dyDescent="0.25">
      <c r="A560" s="19" t="s">
        <v>299</v>
      </c>
      <c r="B560" s="19">
        <v>656</v>
      </c>
      <c r="C560" s="19">
        <v>2</v>
      </c>
      <c r="D560" s="19">
        <v>1</v>
      </c>
      <c r="E560" s="23" t="s">
        <v>262</v>
      </c>
      <c r="F560" s="19" t="str">
        <f t="shared" si="2"/>
        <v>Small</v>
      </c>
      <c r="G560" s="19">
        <v>250000</v>
      </c>
      <c r="H560" s="19" t="str">
        <f>IF(' BENGALURU HOUSE PRICE'!$G560&lt;=500000,"Low",
IF(' BENGALURU HOUSE PRICE'!$G560&lt;=1000000,"Medium",
IF(' BENGALURU HOUSE PRICE'!$G560&lt;=3000000,"High","Luxury")))</f>
        <v>Low</v>
      </c>
    </row>
    <row r="561" spans="1:8" ht="15.75" customHeight="1" x14ac:dyDescent="0.25">
      <c r="A561" s="19" t="s">
        <v>20</v>
      </c>
      <c r="B561" s="19">
        <v>1780</v>
      </c>
      <c r="C561" s="19">
        <v>4</v>
      </c>
      <c r="D561" s="19">
        <v>3</v>
      </c>
      <c r="E561" s="23" t="s">
        <v>264</v>
      </c>
      <c r="F561" s="19" t="str">
        <f t="shared" si="2"/>
        <v>Medium</v>
      </c>
      <c r="G561" s="19">
        <v>1750000</v>
      </c>
      <c r="H561" s="19" t="str">
        <f>IF(' BENGALURU HOUSE PRICE'!$G561&lt;=500000,"Low",
IF(' BENGALURU HOUSE PRICE'!$G561&lt;=1000000,"Medium",
IF(' BENGALURU HOUSE PRICE'!$G561&lt;=3000000,"High","Luxury")))</f>
        <v>High</v>
      </c>
    </row>
    <row r="562" spans="1:8" ht="15.75" customHeight="1" x14ac:dyDescent="0.25">
      <c r="A562" s="19" t="s">
        <v>364</v>
      </c>
      <c r="B562" s="19">
        <v>1056</v>
      </c>
      <c r="C562" s="19">
        <v>2</v>
      </c>
      <c r="D562" s="19">
        <v>1</v>
      </c>
      <c r="E562" s="23" t="s">
        <v>262</v>
      </c>
      <c r="F562" s="19" t="str">
        <f t="shared" si="2"/>
        <v>Medium</v>
      </c>
      <c r="G562" s="19">
        <v>800000</v>
      </c>
      <c r="H562" s="19" t="str">
        <f>IF(' BENGALURU HOUSE PRICE'!$G562&lt;=500000,"Low",
IF(' BENGALURU HOUSE PRICE'!$G562&lt;=1000000,"Medium",
IF(' BENGALURU HOUSE PRICE'!$G562&lt;=3000000,"High","Luxury")))</f>
        <v>Medium</v>
      </c>
    </row>
    <row r="563" spans="1:8" ht="15.75" customHeight="1" x14ac:dyDescent="0.25">
      <c r="A563" s="19" t="s">
        <v>52</v>
      </c>
      <c r="B563" s="19">
        <v>595</v>
      </c>
      <c r="C563" s="19">
        <v>1</v>
      </c>
      <c r="D563" s="19">
        <v>1</v>
      </c>
      <c r="E563" s="23" t="s">
        <v>267</v>
      </c>
      <c r="F563" s="19" t="str">
        <f t="shared" si="2"/>
        <v>Small</v>
      </c>
      <c r="G563" s="19">
        <v>333200</v>
      </c>
      <c r="H563" s="19" t="str">
        <f>IF(' BENGALURU HOUSE PRICE'!$G563&lt;=500000,"Low",
IF(' BENGALURU HOUSE PRICE'!$G563&lt;=1000000,"Medium",
IF(' BENGALURU HOUSE PRICE'!$G563&lt;=3000000,"High","Luxury")))</f>
        <v>Low</v>
      </c>
    </row>
    <row r="564" spans="1:8" ht="15.75" customHeight="1" x14ac:dyDescent="0.25">
      <c r="A564" s="19" t="s">
        <v>374</v>
      </c>
      <c r="B564" s="19">
        <v>1080</v>
      </c>
      <c r="C564" s="19">
        <v>2</v>
      </c>
      <c r="D564" s="19">
        <v>2</v>
      </c>
      <c r="E564" s="23" t="s">
        <v>262</v>
      </c>
      <c r="F564" s="19" t="str">
        <f t="shared" si="2"/>
        <v>Medium</v>
      </c>
      <c r="G564" s="19">
        <v>500000</v>
      </c>
      <c r="H564" s="19" t="str">
        <f>IF(' BENGALURU HOUSE PRICE'!$G564&lt;=500000,"Low",
IF(' BENGALURU HOUSE PRICE'!$G564&lt;=1000000,"Medium",
IF(' BENGALURU HOUSE PRICE'!$G564&lt;=3000000,"High","Luxury")))</f>
        <v>Low</v>
      </c>
    </row>
    <row r="565" spans="1:8" ht="15.75" customHeight="1" x14ac:dyDescent="0.25">
      <c r="A565" s="19" t="s">
        <v>15</v>
      </c>
      <c r="B565" s="19">
        <v>2225</v>
      </c>
      <c r="C565" s="19">
        <v>3</v>
      </c>
      <c r="D565" s="19">
        <v>1</v>
      </c>
      <c r="E565" s="23" t="s">
        <v>27</v>
      </c>
      <c r="F565" s="19" t="str">
        <f t="shared" si="2"/>
        <v>Large</v>
      </c>
      <c r="G565" s="19">
        <v>1600000</v>
      </c>
      <c r="H565" s="19" t="str">
        <f>IF(' BENGALURU HOUSE PRICE'!$G565&lt;=500000,"Low",
IF(' BENGALURU HOUSE PRICE'!$G565&lt;=1000000,"Medium",
IF(' BENGALURU HOUSE PRICE'!$G565&lt;=3000000,"High","Luxury")))</f>
        <v>High</v>
      </c>
    </row>
    <row r="566" spans="1:8" ht="15.75" customHeight="1" x14ac:dyDescent="0.25">
      <c r="A566" s="19" t="s">
        <v>66</v>
      </c>
      <c r="B566" s="19">
        <v>1126</v>
      </c>
      <c r="C566" s="19">
        <v>2</v>
      </c>
      <c r="D566" s="19">
        <v>1</v>
      </c>
      <c r="E566" s="23" t="s">
        <v>262</v>
      </c>
      <c r="F566" s="19" t="str">
        <f t="shared" si="2"/>
        <v>Medium</v>
      </c>
      <c r="G566" s="19">
        <v>281500</v>
      </c>
      <c r="H566" s="19" t="str">
        <f>IF(' BENGALURU HOUSE PRICE'!$G566&lt;=500000,"Low",
IF(' BENGALURU HOUSE PRICE'!$G566&lt;=1000000,"Medium",
IF(' BENGALURU HOUSE PRICE'!$G566&lt;=3000000,"High","Luxury")))</f>
        <v>Low</v>
      </c>
    </row>
    <row r="567" spans="1:8" ht="15.75" customHeight="1" x14ac:dyDescent="0.25">
      <c r="A567" s="19" t="s">
        <v>97</v>
      </c>
      <c r="B567" s="19">
        <v>1490</v>
      </c>
      <c r="C567" s="19">
        <v>3</v>
      </c>
      <c r="D567" s="19">
        <v>1</v>
      </c>
      <c r="E567" s="23" t="s">
        <v>27</v>
      </c>
      <c r="F567" s="19" t="str">
        <f t="shared" si="2"/>
        <v>Medium</v>
      </c>
      <c r="G567" s="19">
        <v>840000</v>
      </c>
      <c r="H567" s="19" t="str">
        <f>IF(' BENGALURU HOUSE PRICE'!$G567&lt;=500000,"Low",
IF(' BENGALURU HOUSE PRICE'!$G567&lt;=1000000,"Medium",
IF(' BENGALURU HOUSE PRICE'!$G567&lt;=3000000,"High","Luxury")))</f>
        <v>Medium</v>
      </c>
    </row>
    <row r="568" spans="1:8" ht="15.75" customHeight="1" x14ac:dyDescent="0.25">
      <c r="A568" s="19" t="s">
        <v>381</v>
      </c>
      <c r="B568" s="19">
        <v>2000</v>
      </c>
      <c r="C568" s="19">
        <v>4</v>
      </c>
      <c r="D568" s="19">
        <v>1</v>
      </c>
      <c r="E568" s="23" t="s">
        <v>264</v>
      </c>
      <c r="F568" s="19" t="str">
        <f t="shared" si="2"/>
        <v>Medium</v>
      </c>
      <c r="G568" s="19">
        <v>3000000</v>
      </c>
      <c r="H568" s="19" t="str">
        <f>IF(' BENGALURU HOUSE PRICE'!$G568&lt;=500000,"Low",
IF(' BENGALURU HOUSE PRICE'!$G568&lt;=1000000,"Medium",
IF(' BENGALURU HOUSE PRICE'!$G568&lt;=3000000,"High","Luxury")))</f>
        <v>High</v>
      </c>
    </row>
    <row r="569" spans="1:8" ht="15.75" customHeight="1" x14ac:dyDescent="0.25">
      <c r="A569" s="19" t="s">
        <v>22</v>
      </c>
      <c r="B569" s="19">
        <v>1550</v>
      </c>
      <c r="C569" s="19">
        <v>3</v>
      </c>
      <c r="D569" s="19">
        <v>3</v>
      </c>
      <c r="E569" s="23" t="s">
        <v>27</v>
      </c>
      <c r="F569" s="19" t="str">
        <f t="shared" si="2"/>
        <v>Medium</v>
      </c>
      <c r="G569" s="19">
        <v>1000000</v>
      </c>
      <c r="H569" s="19" t="str">
        <f>IF(' BENGALURU HOUSE PRICE'!$G569&lt;=500000,"Low",
IF(' BENGALURU HOUSE PRICE'!$G569&lt;=1000000,"Medium",
IF(' BENGALURU HOUSE PRICE'!$G569&lt;=3000000,"High","Luxury")))</f>
        <v>Medium</v>
      </c>
    </row>
    <row r="570" spans="1:8" ht="15.75" customHeight="1" x14ac:dyDescent="0.25">
      <c r="A570" s="19" t="s">
        <v>238</v>
      </c>
      <c r="B570" s="19">
        <v>1600</v>
      </c>
      <c r="C570" s="19">
        <v>3</v>
      </c>
      <c r="D570" s="19">
        <v>2</v>
      </c>
      <c r="E570" s="23" t="s">
        <v>27</v>
      </c>
      <c r="F570" s="19" t="str">
        <f t="shared" si="2"/>
        <v>Medium</v>
      </c>
      <c r="G570" s="19">
        <v>860000</v>
      </c>
      <c r="H570" s="19" t="str">
        <f>IF(' BENGALURU HOUSE PRICE'!$G570&lt;=500000,"Low",
IF(' BENGALURU HOUSE PRICE'!$G570&lt;=1000000,"Medium",
IF(' BENGALURU HOUSE PRICE'!$G570&lt;=3000000,"High","Luxury")))</f>
        <v>Medium</v>
      </c>
    </row>
    <row r="571" spans="1:8" ht="15.75" customHeight="1" x14ac:dyDescent="0.25">
      <c r="A571" s="19" t="s">
        <v>382</v>
      </c>
      <c r="B571" s="19">
        <v>1160</v>
      </c>
      <c r="C571" s="19">
        <v>2</v>
      </c>
      <c r="D571" s="19">
        <v>1</v>
      </c>
      <c r="E571" s="23" t="s">
        <v>262</v>
      </c>
      <c r="F571" s="19" t="str">
        <f t="shared" si="2"/>
        <v>Medium</v>
      </c>
      <c r="G571" s="19">
        <v>550000</v>
      </c>
      <c r="H571" s="19" t="str">
        <f>IF(' BENGALURU HOUSE PRICE'!$G571&lt;=500000,"Low",
IF(' BENGALURU HOUSE PRICE'!$G571&lt;=1000000,"Medium",
IF(' BENGALURU HOUSE PRICE'!$G571&lt;=3000000,"High","Luxury")))</f>
        <v>Medium</v>
      </c>
    </row>
    <row r="572" spans="1:8" ht="15.75" customHeight="1" x14ac:dyDescent="0.25">
      <c r="A572" s="19" t="s">
        <v>25</v>
      </c>
      <c r="B572" s="19">
        <v>4144</v>
      </c>
      <c r="C572" s="19">
        <v>4</v>
      </c>
      <c r="D572" s="19">
        <v>3</v>
      </c>
      <c r="E572" s="23" t="s">
        <v>264</v>
      </c>
      <c r="F572" s="19" t="str">
        <f t="shared" si="2"/>
        <v>Large</v>
      </c>
      <c r="G572" s="19">
        <v>3150000</v>
      </c>
      <c r="H572" s="19" t="str">
        <f>IF(' BENGALURU HOUSE PRICE'!$G572&lt;=500000,"Low",
IF(' BENGALURU HOUSE PRICE'!$G572&lt;=1000000,"Medium",
IF(' BENGALURU HOUSE PRICE'!$G572&lt;=3000000,"High","Luxury")))</f>
        <v>Luxury</v>
      </c>
    </row>
    <row r="573" spans="1:8" ht="15.75" customHeight="1" x14ac:dyDescent="0.25">
      <c r="A573" s="19" t="s">
        <v>22</v>
      </c>
      <c r="B573" s="19">
        <v>2100</v>
      </c>
      <c r="C573" s="19">
        <v>3</v>
      </c>
      <c r="D573" s="19">
        <v>2</v>
      </c>
      <c r="E573" s="23" t="s">
        <v>27</v>
      </c>
      <c r="F573" s="19" t="str">
        <f t="shared" si="2"/>
        <v>Large</v>
      </c>
      <c r="G573" s="19">
        <v>1250000</v>
      </c>
      <c r="H573" s="19" t="str">
        <f>IF(' BENGALURU HOUSE PRICE'!$G573&lt;=500000,"Low",
IF(' BENGALURU HOUSE PRICE'!$G573&lt;=1000000,"Medium",
IF(' BENGALURU HOUSE PRICE'!$G573&lt;=3000000,"High","Luxury")))</f>
        <v>High</v>
      </c>
    </row>
    <row r="574" spans="1:8" ht="15.75" customHeight="1" x14ac:dyDescent="0.25">
      <c r="A574" s="19" t="s">
        <v>348</v>
      </c>
      <c r="B574" s="19">
        <v>1404</v>
      </c>
      <c r="C574" s="19">
        <v>2</v>
      </c>
      <c r="D574" s="19">
        <v>1</v>
      </c>
      <c r="E574" s="23" t="s">
        <v>262</v>
      </c>
      <c r="F574" s="19" t="str">
        <f t="shared" si="2"/>
        <v>Medium</v>
      </c>
      <c r="G574" s="19">
        <v>693000</v>
      </c>
      <c r="H574" s="19" t="str">
        <f>IF(' BENGALURU HOUSE PRICE'!$G574&lt;=500000,"Low",
IF(' BENGALURU HOUSE PRICE'!$G574&lt;=1000000,"Medium",
IF(' BENGALURU HOUSE PRICE'!$G574&lt;=3000000,"High","Luxury")))</f>
        <v>Medium</v>
      </c>
    </row>
    <row r="575" spans="1:8" ht="15.75" customHeight="1" x14ac:dyDescent="0.25">
      <c r="A575" s="19" t="s">
        <v>22</v>
      </c>
      <c r="B575" s="19">
        <v>2230</v>
      </c>
      <c r="C575" s="19">
        <v>4</v>
      </c>
      <c r="D575" s="19">
        <v>3</v>
      </c>
      <c r="E575" s="23" t="s">
        <v>264</v>
      </c>
      <c r="F575" s="19" t="str">
        <f t="shared" si="2"/>
        <v>Large</v>
      </c>
      <c r="G575" s="19">
        <v>2250000</v>
      </c>
      <c r="H575" s="19" t="str">
        <f>IF(' BENGALURU HOUSE PRICE'!$G575&lt;=500000,"Low",
IF(' BENGALURU HOUSE PRICE'!$G575&lt;=1000000,"Medium",
IF(' BENGALURU HOUSE PRICE'!$G575&lt;=3000000,"High","Luxury")))</f>
        <v>High</v>
      </c>
    </row>
    <row r="576" spans="1:8" ht="15.75" customHeight="1" x14ac:dyDescent="0.25">
      <c r="A576" s="19" t="s">
        <v>177</v>
      </c>
      <c r="B576" s="19">
        <v>1544</v>
      </c>
      <c r="C576" s="19">
        <v>3</v>
      </c>
      <c r="D576" s="19">
        <v>2</v>
      </c>
      <c r="E576" s="23" t="s">
        <v>27</v>
      </c>
      <c r="F576" s="19" t="str">
        <f t="shared" si="2"/>
        <v>Medium</v>
      </c>
      <c r="G576" s="19">
        <v>1200000</v>
      </c>
      <c r="H576" s="19" t="str">
        <f>IF(' BENGALURU HOUSE PRICE'!$G576&lt;=500000,"Low",
IF(' BENGALURU HOUSE PRICE'!$G576&lt;=1000000,"Medium",
IF(' BENGALURU HOUSE PRICE'!$G576&lt;=3000000,"High","Luxury")))</f>
        <v>High</v>
      </c>
    </row>
    <row r="577" spans="1:8" ht="15.75" customHeight="1" x14ac:dyDescent="0.25">
      <c r="A577" s="19" t="s">
        <v>49</v>
      </c>
      <c r="B577" s="19">
        <v>1305</v>
      </c>
      <c r="C577" s="19">
        <v>2</v>
      </c>
      <c r="D577" s="19">
        <v>1</v>
      </c>
      <c r="E577" s="23" t="s">
        <v>27</v>
      </c>
      <c r="F577" s="19" t="str">
        <f t="shared" si="2"/>
        <v>Medium</v>
      </c>
      <c r="G577" s="19">
        <v>587000</v>
      </c>
      <c r="H577" s="19" t="str">
        <f>IF(' BENGALURU HOUSE PRICE'!$G577&lt;=500000,"Low",
IF(' BENGALURU HOUSE PRICE'!$G577&lt;=1000000,"Medium",
IF(' BENGALURU HOUSE PRICE'!$G577&lt;=3000000,"High","Luxury")))</f>
        <v>Medium</v>
      </c>
    </row>
    <row r="578" spans="1:8" ht="15.75" customHeight="1" x14ac:dyDescent="0.25">
      <c r="A578" s="19" t="s">
        <v>20</v>
      </c>
      <c r="B578" s="19">
        <v>1230</v>
      </c>
      <c r="C578" s="19">
        <v>2</v>
      </c>
      <c r="D578" s="19">
        <v>2</v>
      </c>
      <c r="E578" s="23" t="s">
        <v>262</v>
      </c>
      <c r="F578" s="19" t="str">
        <f t="shared" si="2"/>
        <v>Medium</v>
      </c>
      <c r="G578" s="19">
        <v>800000</v>
      </c>
      <c r="H578" s="19" t="str">
        <f>IF(' BENGALURU HOUSE PRICE'!$G578&lt;=500000,"Low",
IF(' BENGALURU HOUSE PRICE'!$G578&lt;=1000000,"Medium",
IF(' BENGALURU HOUSE PRICE'!$G578&lt;=3000000,"High","Luxury")))</f>
        <v>Medium</v>
      </c>
    </row>
    <row r="579" spans="1:8" ht="15.75" customHeight="1" x14ac:dyDescent="0.25">
      <c r="A579" s="19" t="s">
        <v>331</v>
      </c>
      <c r="B579" s="19">
        <v>1200</v>
      </c>
      <c r="C579" s="19">
        <v>2</v>
      </c>
      <c r="D579" s="19">
        <v>0</v>
      </c>
      <c r="E579" s="23" t="s">
        <v>262</v>
      </c>
      <c r="F579" s="19" t="str">
        <f t="shared" si="2"/>
        <v>Medium</v>
      </c>
      <c r="G579" s="19">
        <v>650000</v>
      </c>
      <c r="H579" s="19" t="str">
        <f>IF(' BENGALURU HOUSE PRICE'!$G579&lt;=500000,"Low",
IF(' BENGALURU HOUSE PRICE'!$G579&lt;=1000000,"Medium",
IF(' BENGALURU HOUSE PRICE'!$G579&lt;=3000000,"High","Luxury")))</f>
        <v>Medium</v>
      </c>
    </row>
    <row r="580" spans="1:8" ht="15.75" customHeight="1" x14ac:dyDescent="0.25">
      <c r="A580" s="19" t="s">
        <v>108</v>
      </c>
      <c r="B580" s="19">
        <v>1460</v>
      </c>
      <c r="C580" s="19">
        <v>3</v>
      </c>
      <c r="D580" s="19">
        <v>1</v>
      </c>
      <c r="E580" s="23" t="s">
        <v>27</v>
      </c>
      <c r="F580" s="19" t="str">
        <f t="shared" si="2"/>
        <v>Medium</v>
      </c>
      <c r="G580" s="19">
        <v>730000</v>
      </c>
      <c r="H580" s="19" t="str">
        <f>IF(' BENGALURU HOUSE PRICE'!$G580&lt;=500000,"Low",
IF(' BENGALURU HOUSE PRICE'!$G580&lt;=1000000,"Medium",
IF(' BENGALURU HOUSE PRICE'!$G580&lt;=3000000,"High","Luxury")))</f>
        <v>Medium</v>
      </c>
    </row>
    <row r="581" spans="1:8" ht="15.75" customHeight="1" x14ac:dyDescent="0.25">
      <c r="A581" s="19" t="s">
        <v>22</v>
      </c>
      <c r="B581" s="19">
        <v>1559</v>
      </c>
      <c r="C581" s="19">
        <v>2</v>
      </c>
      <c r="D581" s="19">
        <v>2</v>
      </c>
      <c r="E581" s="23" t="s">
        <v>383</v>
      </c>
      <c r="F581" s="19" t="str">
        <f t="shared" si="2"/>
        <v>Medium</v>
      </c>
      <c r="G581" s="19">
        <v>341850</v>
      </c>
      <c r="H581" s="19" t="str">
        <f>IF(' BENGALURU HOUSE PRICE'!$G581&lt;=500000,"Low",
IF(' BENGALURU HOUSE PRICE'!$G581&lt;=1000000,"Medium",
IF(' BENGALURU HOUSE PRICE'!$G581&lt;=3000000,"High","Luxury")))</f>
        <v>Low</v>
      </c>
    </row>
    <row r="582" spans="1:8" ht="15.75" customHeight="1" x14ac:dyDescent="0.25">
      <c r="A582" s="19" t="s">
        <v>104</v>
      </c>
      <c r="B582" s="19">
        <v>967</v>
      </c>
      <c r="C582" s="19">
        <v>2</v>
      </c>
      <c r="D582" s="19">
        <v>3</v>
      </c>
      <c r="E582" s="23" t="s">
        <v>262</v>
      </c>
      <c r="F582" s="19" t="str">
        <f t="shared" si="2"/>
        <v>Small</v>
      </c>
      <c r="G582" s="19">
        <v>450000</v>
      </c>
      <c r="H582" s="19" t="str">
        <f>IF(' BENGALURU HOUSE PRICE'!$G582&lt;=500000,"Low",
IF(' BENGALURU HOUSE PRICE'!$G582&lt;=1000000,"Medium",
IF(' BENGALURU HOUSE PRICE'!$G582&lt;=3000000,"High","Luxury")))</f>
        <v>Low</v>
      </c>
    </row>
    <row r="583" spans="1:8" ht="15.75" customHeight="1" x14ac:dyDescent="0.25">
      <c r="A583" s="19" t="s">
        <v>71</v>
      </c>
      <c r="B583" s="19">
        <v>540</v>
      </c>
      <c r="C583" s="19">
        <v>1</v>
      </c>
      <c r="D583" s="19">
        <v>1</v>
      </c>
      <c r="E583" s="23" t="s">
        <v>267</v>
      </c>
      <c r="F583" s="19" t="str">
        <f t="shared" si="2"/>
        <v>Small</v>
      </c>
      <c r="G583" s="19">
        <v>360000</v>
      </c>
      <c r="H583" s="19" t="str">
        <f>IF(' BENGALURU HOUSE PRICE'!$G583&lt;=500000,"Low",
IF(' BENGALURU HOUSE PRICE'!$G583&lt;=1000000,"Medium",
IF(' BENGALURU HOUSE PRICE'!$G583&lt;=3000000,"High","Luxury")))</f>
        <v>Low</v>
      </c>
    </row>
    <row r="584" spans="1:8" ht="15.75" customHeight="1" x14ac:dyDescent="0.25">
      <c r="A584" s="19" t="s">
        <v>288</v>
      </c>
      <c r="B584" s="19">
        <v>715</v>
      </c>
      <c r="C584" s="19">
        <v>1</v>
      </c>
      <c r="D584" s="19">
        <v>2</v>
      </c>
      <c r="E584" s="23" t="s">
        <v>267</v>
      </c>
      <c r="F584" s="19" t="str">
        <f t="shared" si="2"/>
        <v>Small</v>
      </c>
      <c r="G584" s="19">
        <v>460000</v>
      </c>
      <c r="H584" s="19" t="str">
        <f>IF(' BENGALURU HOUSE PRICE'!$G584&lt;=500000,"Low",
IF(' BENGALURU HOUSE PRICE'!$G584&lt;=1000000,"Medium",
IF(' BENGALURU HOUSE PRICE'!$G584&lt;=3000000,"High","Luxury")))</f>
        <v>Low</v>
      </c>
    </row>
    <row r="585" spans="1:8" ht="15.75" customHeight="1" x14ac:dyDescent="0.25">
      <c r="A585" s="19" t="s">
        <v>25</v>
      </c>
      <c r="B585" s="19">
        <v>2500</v>
      </c>
      <c r="C585" s="19">
        <v>3</v>
      </c>
      <c r="D585" s="19">
        <v>2</v>
      </c>
      <c r="E585" s="23" t="s">
        <v>27</v>
      </c>
      <c r="F585" s="19" t="str">
        <f t="shared" si="2"/>
        <v>Large</v>
      </c>
      <c r="G585" s="19">
        <v>3130000</v>
      </c>
      <c r="H585" s="19" t="str">
        <f>IF(' BENGALURU HOUSE PRICE'!$G585&lt;=500000,"Low",
IF(' BENGALURU HOUSE PRICE'!$G585&lt;=1000000,"Medium",
IF(' BENGALURU HOUSE PRICE'!$G585&lt;=3000000,"High","Luxury")))</f>
        <v>Luxury</v>
      </c>
    </row>
    <row r="586" spans="1:8" ht="15.75" customHeight="1" x14ac:dyDescent="0.25">
      <c r="A586" s="19" t="s">
        <v>93</v>
      </c>
      <c r="B586" s="19">
        <v>1578</v>
      </c>
      <c r="C586" s="19">
        <v>3</v>
      </c>
      <c r="D586" s="19">
        <v>1</v>
      </c>
      <c r="E586" s="23" t="s">
        <v>27</v>
      </c>
      <c r="F586" s="19" t="str">
        <f t="shared" si="2"/>
        <v>Medium</v>
      </c>
      <c r="G586" s="19">
        <v>1800000</v>
      </c>
      <c r="H586" s="19" t="str">
        <f>IF(' BENGALURU HOUSE PRICE'!$G586&lt;=500000,"Low",
IF(' BENGALURU HOUSE PRICE'!$G586&lt;=1000000,"Medium",
IF(' BENGALURU HOUSE PRICE'!$G586&lt;=3000000,"High","Luxury")))</f>
        <v>High</v>
      </c>
    </row>
    <row r="587" spans="1:8" ht="15.75" customHeight="1" x14ac:dyDescent="0.25">
      <c r="A587" s="19" t="s">
        <v>182</v>
      </c>
      <c r="B587" s="19">
        <v>1020</v>
      </c>
      <c r="C587" s="19">
        <v>2</v>
      </c>
      <c r="D587" s="19">
        <v>1</v>
      </c>
      <c r="E587" s="23" t="s">
        <v>262</v>
      </c>
      <c r="F587" s="19" t="str">
        <f t="shared" si="2"/>
        <v>Medium</v>
      </c>
      <c r="G587" s="19">
        <v>489500</v>
      </c>
      <c r="H587" s="19" t="str">
        <f>IF(' BENGALURU HOUSE PRICE'!$G587&lt;=500000,"Low",
IF(' BENGALURU HOUSE PRICE'!$G587&lt;=1000000,"Medium",
IF(' BENGALURU HOUSE PRICE'!$G587&lt;=3000000,"High","Luxury")))</f>
        <v>Low</v>
      </c>
    </row>
    <row r="588" spans="1:8" ht="15.75" customHeight="1" x14ac:dyDescent="0.25">
      <c r="A588" s="19" t="s">
        <v>133</v>
      </c>
      <c r="B588" s="19">
        <v>1020</v>
      </c>
      <c r="C588" s="19">
        <v>2</v>
      </c>
      <c r="D588" s="19">
        <v>1</v>
      </c>
      <c r="E588" s="23" t="s">
        <v>262</v>
      </c>
      <c r="F588" s="19" t="str">
        <f t="shared" si="2"/>
        <v>Medium</v>
      </c>
      <c r="G588" s="19">
        <v>400000</v>
      </c>
      <c r="H588" s="19" t="str">
        <f>IF(' BENGALURU HOUSE PRICE'!$G588&lt;=500000,"Low",
IF(' BENGALURU HOUSE PRICE'!$G588&lt;=1000000,"Medium",
IF(' BENGALURU HOUSE PRICE'!$G588&lt;=3000000,"High","Luxury")))</f>
        <v>Low</v>
      </c>
    </row>
    <row r="589" spans="1:8" ht="15.75" customHeight="1" x14ac:dyDescent="0.25">
      <c r="A589" s="19" t="s">
        <v>157</v>
      </c>
      <c r="B589" s="19">
        <v>1253</v>
      </c>
      <c r="C589" s="19">
        <v>2</v>
      </c>
      <c r="D589" s="19">
        <v>1</v>
      </c>
      <c r="E589" s="23" t="s">
        <v>262</v>
      </c>
      <c r="F589" s="19" t="str">
        <f t="shared" si="2"/>
        <v>Medium</v>
      </c>
      <c r="G589" s="19">
        <v>1020000</v>
      </c>
      <c r="H589" s="19" t="str">
        <f>IF(' BENGALURU HOUSE PRICE'!$G589&lt;=500000,"Low",
IF(' BENGALURU HOUSE PRICE'!$G589&lt;=1000000,"Medium",
IF(' BENGALURU HOUSE PRICE'!$G589&lt;=3000000,"High","Luxury")))</f>
        <v>High</v>
      </c>
    </row>
    <row r="590" spans="1:8" ht="15.75" customHeight="1" x14ac:dyDescent="0.25">
      <c r="A590" s="19" t="s">
        <v>384</v>
      </c>
      <c r="B590" s="19">
        <v>1180</v>
      </c>
      <c r="C590" s="19">
        <v>2</v>
      </c>
      <c r="D590" s="19">
        <v>2</v>
      </c>
      <c r="E590" s="23" t="s">
        <v>262</v>
      </c>
      <c r="F590" s="19" t="str">
        <f t="shared" si="2"/>
        <v>Medium</v>
      </c>
      <c r="G590" s="19">
        <v>420000</v>
      </c>
      <c r="H590" s="19" t="str">
        <f>IF(' BENGALURU HOUSE PRICE'!$G590&lt;=500000,"Low",
IF(' BENGALURU HOUSE PRICE'!$G590&lt;=1000000,"Medium",
IF(' BENGALURU HOUSE PRICE'!$G590&lt;=3000000,"High","Luxury")))</f>
        <v>Low</v>
      </c>
    </row>
    <row r="591" spans="1:8" ht="15.75" customHeight="1" x14ac:dyDescent="0.25">
      <c r="A591" s="19" t="s">
        <v>385</v>
      </c>
      <c r="B591" s="19">
        <v>961</v>
      </c>
      <c r="C591" s="19">
        <v>2</v>
      </c>
      <c r="D591" s="19">
        <v>2</v>
      </c>
      <c r="E591" s="23" t="s">
        <v>262</v>
      </c>
      <c r="F591" s="19" t="str">
        <f t="shared" si="2"/>
        <v>Small</v>
      </c>
      <c r="G591" s="19">
        <v>380000</v>
      </c>
      <c r="H591" s="19" t="str">
        <f>IF(' BENGALURU HOUSE PRICE'!$G591&lt;=500000,"Low",
IF(' BENGALURU HOUSE PRICE'!$G591&lt;=1000000,"Medium",
IF(' BENGALURU HOUSE PRICE'!$G591&lt;=3000000,"High","Luxury")))</f>
        <v>Low</v>
      </c>
    </row>
    <row r="592" spans="1:8" ht="15.75" customHeight="1" x14ac:dyDescent="0.25">
      <c r="A592" s="19" t="s">
        <v>143</v>
      </c>
      <c r="B592" s="19">
        <v>1419</v>
      </c>
      <c r="C592" s="19">
        <v>3</v>
      </c>
      <c r="D592" s="19">
        <v>3</v>
      </c>
      <c r="E592" s="23" t="s">
        <v>27</v>
      </c>
      <c r="F592" s="19" t="str">
        <f t="shared" si="2"/>
        <v>Medium</v>
      </c>
      <c r="G592" s="19">
        <v>750000</v>
      </c>
      <c r="H592" s="19" t="str">
        <f>IF(' BENGALURU HOUSE PRICE'!$G592&lt;=500000,"Low",
IF(' BENGALURU HOUSE PRICE'!$G592&lt;=1000000,"Medium",
IF(' BENGALURU HOUSE PRICE'!$G592&lt;=3000000,"High","Luxury")))</f>
        <v>Medium</v>
      </c>
    </row>
    <row r="593" spans="1:8" ht="15.75" customHeight="1" x14ac:dyDescent="0.25">
      <c r="A593" s="19" t="s">
        <v>108</v>
      </c>
      <c r="B593" s="19">
        <v>1709</v>
      </c>
      <c r="C593" s="19">
        <v>3</v>
      </c>
      <c r="D593" s="19">
        <v>2</v>
      </c>
      <c r="E593" s="23" t="s">
        <v>27</v>
      </c>
      <c r="F593" s="19" t="str">
        <f t="shared" si="2"/>
        <v>Medium</v>
      </c>
      <c r="G593" s="19">
        <v>1500000</v>
      </c>
      <c r="H593" s="19" t="str">
        <f>IF(' BENGALURU HOUSE PRICE'!$G593&lt;=500000,"Low",
IF(' BENGALURU HOUSE PRICE'!$G593&lt;=1000000,"Medium",
IF(' BENGALURU HOUSE PRICE'!$G593&lt;=3000000,"High","Luxury")))</f>
        <v>High</v>
      </c>
    </row>
    <row r="594" spans="1:8" ht="15.75" customHeight="1" x14ac:dyDescent="0.25">
      <c r="A594" s="19" t="s">
        <v>386</v>
      </c>
      <c r="B594" s="19">
        <v>1600</v>
      </c>
      <c r="C594" s="19">
        <v>2</v>
      </c>
      <c r="D594" s="19">
        <v>0</v>
      </c>
      <c r="E594" s="23" t="s">
        <v>262</v>
      </c>
      <c r="F594" s="19" t="str">
        <f t="shared" si="2"/>
        <v>Medium</v>
      </c>
      <c r="G594" s="19">
        <v>1150000</v>
      </c>
      <c r="H594" s="19" t="str">
        <f>IF(' BENGALURU HOUSE PRICE'!$G594&lt;=500000,"Low",
IF(' BENGALURU HOUSE PRICE'!$G594&lt;=1000000,"Medium",
IF(' BENGALURU HOUSE PRICE'!$G594&lt;=3000000,"High","Luxury")))</f>
        <v>High</v>
      </c>
    </row>
    <row r="595" spans="1:8" ht="15.75" customHeight="1" x14ac:dyDescent="0.25">
      <c r="A595" s="19" t="s">
        <v>387</v>
      </c>
      <c r="B595" s="19">
        <v>416</v>
      </c>
      <c r="C595" s="19">
        <v>1</v>
      </c>
      <c r="D595" s="19">
        <v>1</v>
      </c>
      <c r="E595" s="23" t="s">
        <v>267</v>
      </c>
      <c r="F595" s="19" t="str">
        <f t="shared" si="2"/>
        <v>Small</v>
      </c>
      <c r="G595" s="19">
        <v>185000</v>
      </c>
      <c r="H595" s="19" t="str">
        <f>IF(' BENGALURU HOUSE PRICE'!$G595&lt;=500000,"Low",
IF(' BENGALURU HOUSE PRICE'!$G595&lt;=1000000,"Medium",
IF(' BENGALURU HOUSE PRICE'!$G595&lt;=3000000,"High","Luxury")))</f>
        <v>Low</v>
      </c>
    </row>
    <row r="596" spans="1:8" ht="15.75" customHeight="1" x14ac:dyDescent="0.25">
      <c r="A596" s="19" t="s">
        <v>281</v>
      </c>
      <c r="B596" s="19">
        <v>1100</v>
      </c>
      <c r="C596" s="19">
        <v>2</v>
      </c>
      <c r="D596" s="19">
        <v>2</v>
      </c>
      <c r="E596" s="23" t="s">
        <v>262</v>
      </c>
      <c r="F596" s="19" t="str">
        <f t="shared" si="2"/>
        <v>Medium</v>
      </c>
      <c r="G596" s="19">
        <v>980000</v>
      </c>
      <c r="H596" s="19" t="str">
        <f>IF(' BENGALURU HOUSE PRICE'!$G596&lt;=500000,"Low",
IF(' BENGALURU HOUSE PRICE'!$G596&lt;=1000000,"Medium",
IF(' BENGALURU HOUSE PRICE'!$G596&lt;=3000000,"High","Luxury")))</f>
        <v>Medium</v>
      </c>
    </row>
    <row r="597" spans="1:8" ht="15.75" customHeight="1" x14ac:dyDescent="0.25">
      <c r="A597" s="19" t="s">
        <v>122</v>
      </c>
      <c r="B597" s="19">
        <v>1430</v>
      </c>
      <c r="C597" s="19">
        <v>2</v>
      </c>
      <c r="D597" s="19">
        <v>1</v>
      </c>
      <c r="E597" s="23" t="s">
        <v>27</v>
      </c>
      <c r="F597" s="19" t="str">
        <f t="shared" si="2"/>
        <v>Medium</v>
      </c>
      <c r="G597" s="19">
        <v>650000</v>
      </c>
      <c r="H597" s="19" t="str">
        <f>IF(' BENGALURU HOUSE PRICE'!$G597&lt;=500000,"Low",
IF(' BENGALURU HOUSE PRICE'!$G597&lt;=1000000,"Medium",
IF(' BENGALURU HOUSE PRICE'!$G597&lt;=3000000,"High","Luxury")))</f>
        <v>Medium</v>
      </c>
    </row>
    <row r="598" spans="1:8" ht="15.75" customHeight="1" x14ac:dyDescent="0.25">
      <c r="A598" s="19" t="s">
        <v>388</v>
      </c>
      <c r="B598" s="19">
        <v>1260</v>
      </c>
      <c r="C598" s="19">
        <v>2</v>
      </c>
      <c r="D598" s="19">
        <v>2</v>
      </c>
      <c r="E598" s="23" t="s">
        <v>262</v>
      </c>
      <c r="F598" s="19" t="str">
        <f t="shared" si="2"/>
        <v>Medium</v>
      </c>
      <c r="G598" s="19">
        <v>450000</v>
      </c>
      <c r="H598" s="19" t="str">
        <f>IF(' BENGALURU HOUSE PRICE'!$G598&lt;=500000,"Low",
IF(' BENGALURU HOUSE PRICE'!$G598&lt;=1000000,"Medium",
IF(' BENGALURU HOUSE PRICE'!$G598&lt;=3000000,"High","Luxury")))</f>
        <v>Low</v>
      </c>
    </row>
    <row r="599" spans="1:8" ht="15.75" customHeight="1" x14ac:dyDescent="0.25">
      <c r="A599" s="19" t="s">
        <v>204</v>
      </c>
      <c r="B599" s="19">
        <v>1630</v>
      </c>
      <c r="C599" s="19">
        <v>3</v>
      </c>
      <c r="D599" s="19">
        <v>2</v>
      </c>
      <c r="E599" s="23" t="s">
        <v>27</v>
      </c>
      <c r="F599" s="19" t="str">
        <f t="shared" si="2"/>
        <v>Medium</v>
      </c>
      <c r="G599" s="19">
        <v>850000</v>
      </c>
      <c r="H599" s="19" t="str">
        <f>IF(' BENGALURU HOUSE PRICE'!$G599&lt;=500000,"Low",
IF(' BENGALURU HOUSE PRICE'!$G599&lt;=1000000,"Medium",
IF(' BENGALURU HOUSE PRICE'!$G599&lt;=3000000,"High","Luxury")))</f>
        <v>Medium</v>
      </c>
    </row>
    <row r="600" spans="1:8" ht="15.75" customHeight="1" x14ac:dyDescent="0.25">
      <c r="A600" s="19" t="s">
        <v>22</v>
      </c>
      <c r="B600" s="19">
        <v>1249</v>
      </c>
      <c r="C600" s="19">
        <v>3</v>
      </c>
      <c r="D600" s="19">
        <v>2</v>
      </c>
      <c r="E600" s="23" t="s">
        <v>27</v>
      </c>
      <c r="F600" s="19" t="str">
        <f t="shared" si="2"/>
        <v>Medium</v>
      </c>
      <c r="G600" s="19">
        <v>447100</v>
      </c>
      <c r="H600" s="19" t="str">
        <f>IF(' BENGALURU HOUSE PRICE'!$G600&lt;=500000,"Low",
IF(' BENGALURU HOUSE PRICE'!$G600&lt;=1000000,"Medium",
IF(' BENGALURU HOUSE PRICE'!$G600&lt;=3000000,"High","Luxury")))</f>
        <v>Low</v>
      </c>
    </row>
    <row r="601" spans="1:8" ht="15.75" customHeight="1" x14ac:dyDescent="0.25">
      <c r="A601" s="19" t="s">
        <v>139</v>
      </c>
      <c r="B601" s="19">
        <v>1450</v>
      </c>
      <c r="C601" s="19">
        <v>2</v>
      </c>
      <c r="D601" s="19">
        <v>3</v>
      </c>
      <c r="E601" s="23" t="s">
        <v>27</v>
      </c>
      <c r="F601" s="19" t="str">
        <f t="shared" si="2"/>
        <v>Medium</v>
      </c>
      <c r="G601" s="19">
        <v>850000</v>
      </c>
      <c r="H601" s="19" t="str">
        <f>IF(' BENGALURU HOUSE PRICE'!$G601&lt;=500000,"Low",
IF(' BENGALURU HOUSE PRICE'!$G601&lt;=1000000,"Medium",
IF(' BENGALURU HOUSE PRICE'!$G601&lt;=3000000,"High","Luxury")))</f>
        <v>Medium</v>
      </c>
    </row>
    <row r="602" spans="1:8" ht="15.75" customHeight="1" x14ac:dyDescent="0.25">
      <c r="A602" s="19" t="s">
        <v>156</v>
      </c>
      <c r="B602" s="19">
        <v>2791</v>
      </c>
      <c r="C602" s="19">
        <v>3</v>
      </c>
      <c r="D602" s="19">
        <v>1</v>
      </c>
      <c r="E602" s="23" t="s">
        <v>27</v>
      </c>
      <c r="F602" s="19" t="str">
        <f t="shared" si="2"/>
        <v>Large</v>
      </c>
      <c r="G602" s="19">
        <v>2230000</v>
      </c>
      <c r="H602" s="19" t="str">
        <f>IF(' BENGALURU HOUSE PRICE'!$G602&lt;=500000,"Low",
IF(' BENGALURU HOUSE PRICE'!$G602&lt;=1000000,"Medium",
IF(' BENGALURU HOUSE PRICE'!$G602&lt;=3000000,"High","Luxury")))</f>
        <v>High</v>
      </c>
    </row>
    <row r="603" spans="1:8" ht="15.75" customHeight="1" x14ac:dyDescent="0.25">
      <c r="A603" s="19" t="s">
        <v>389</v>
      </c>
      <c r="B603" s="19">
        <v>600</v>
      </c>
      <c r="C603" s="19">
        <v>1</v>
      </c>
      <c r="D603" s="19">
        <v>0</v>
      </c>
      <c r="E603" s="23" t="s">
        <v>267</v>
      </c>
      <c r="F603" s="19" t="str">
        <f t="shared" si="2"/>
        <v>Small</v>
      </c>
      <c r="G603" s="19">
        <v>900000</v>
      </c>
      <c r="H603" s="19" t="str">
        <f>IF(' BENGALURU HOUSE PRICE'!$G603&lt;=500000,"Low",
IF(' BENGALURU HOUSE PRICE'!$G603&lt;=1000000,"Medium",
IF(' BENGALURU HOUSE PRICE'!$G603&lt;=3000000,"High","Luxury")))</f>
        <v>Medium</v>
      </c>
    </row>
    <row r="604" spans="1:8" ht="15.75" customHeight="1" x14ac:dyDescent="0.25">
      <c r="A604" s="19" t="s">
        <v>382</v>
      </c>
      <c r="B604" s="19">
        <v>834</v>
      </c>
      <c r="C604" s="19">
        <v>1</v>
      </c>
      <c r="D604" s="19">
        <v>1</v>
      </c>
      <c r="E604" s="23" t="s">
        <v>267</v>
      </c>
      <c r="F604" s="19" t="str">
        <f t="shared" si="2"/>
        <v>Small</v>
      </c>
      <c r="G604" s="19">
        <v>600000</v>
      </c>
      <c r="H604" s="19" t="str">
        <f>IF(' BENGALURU HOUSE PRICE'!$G604&lt;=500000,"Low",
IF(' BENGALURU HOUSE PRICE'!$G604&lt;=1000000,"Medium",
IF(' BENGALURU HOUSE PRICE'!$G604&lt;=3000000,"High","Luxury")))</f>
        <v>Medium</v>
      </c>
    </row>
    <row r="605" spans="1:8" ht="15.75" customHeight="1" x14ac:dyDescent="0.25">
      <c r="A605" s="19" t="s">
        <v>90</v>
      </c>
      <c r="B605" s="19">
        <v>1125</v>
      </c>
      <c r="C605" s="19">
        <v>4</v>
      </c>
      <c r="D605" s="19">
        <v>1</v>
      </c>
      <c r="E605" s="23" t="s">
        <v>27</v>
      </c>
      <c r="F605" s="19" t="str">
        <f t="shared" si="2"/>
        <v>Medium</v>
      </c>
      <c r="G605" s="19">
        <v>700000</v>
      </c>
      <c r="H605" s="19" t="str">
        <f>IF(' BENGALURU HOUSE PRICE'!$G605&lt;=500000,"Low",
IF(' BENGALURU HOUSE PRICE'!$G605&lt;=1000000,"Medium",
IF(' BENGALURU HOUSE PRICE'!$G605&lt;=3000000,"High","Luxury")))</f>
        <v>Medium</v>
      </c>
    </row>
    <row r="606" spans="1:8" ht="15.75" customHeight="1" x14ac:dyDescent="0.25">
      <c r="A606" s="19" t="s">
        <v>42</v>
      </c>
      <c r="B606" s="19">
        <v>2060</v>
      </c>
      <c r="C606" s="19">
        <v>3</v>
      </c>
      <c r="D606" s="19">
        <v>2</v>
      </c>
      <c r="E606" s="23" t="s">
        <v>27</v>
      </c>
      <c r="F606" s="19" t="str">
        <f t="shared" si="2"/>
        <v>Large</v>
      </c>
      <c r="G606" s="19">
        <v>1400000</v>
      </c>
      <c r="H606" s="19" t="str">
        <f>IF(' BENGALURU HOUSE PRICE'!$G606&lt;=500000,"Low",
IF(' BENGALURU HOUSE PRICE'!$G606&lt;=1000000,"Medium",
IF(' BENGALURU HOUSE PRICE'!$G606&lt;=3000000,"High","Luxury")))</f>
        <v>High</v>
      </c>
    </row>
    <row r="607" spans="1:8" ht="15.75" customHeight="1" x14ac:dyDescent="0.25">
      <c r="A607" s="19" t="s">
        <v>171</v>
      </c>
      <c r="B607" s="19">
        <v>12000</v>
      </c>
      <c r="C607" s="19">
        <v>7</v>
      </c>
      <c r="D607" s="19">
        <v>3</v>
      </c>
      <c r="E607" s="23" t="s">
        <v>290</v>
      </c>
      <c r="F607" s="19" t="str">
        <f t="shared" si="2"/>
        <v>Large</v>
      </c>
      <c r="G607" s="19">
        <v>22000000</v>
      </c>
      <c r="H607" s="19" t="str">
        <f>IF(' BENGALURU HOUSE PRICE'!$G607&lt;=500000,"Low",
IF(' BENGALURU HOUSE PRICE'!$G607&lt;=1000000,"Medium",
IF(' BENGALURU HOUSE PRICE'!$G607&lt;=3000000,"High","Luxury")))</f>
        <v>Luxury</v>
      </c>
    </row>
    <row r="608" spans="1:8" ht="15.75" customHeight="1" x14ac:dyDescent="0.25">
      <c r="A608" s="19" t="s">
        <v>104</v>
      </c>
      <c r="B608" s="19">
        <v>891</v>
      </c>
      <c r="C608" s="19">
        <v>2</v>
      </c>
      <c r="D608" s="19">
        <v>1</v>
      </c>
      <c r="E608" s="23" t="s">
        <v>262</v>
      </c>
      <c r="F608" s="19" t="str">
        <f t="shared" si="2"/>
        <v>Small</v>
      </c>
      <c r="G608" s="19">
        <v>250000</v>
      </c>
      <c r="H608" s="19" t="str">
        <f>IF(' BENGALURU HOUSE PRICE'!$G608&lt;=500000,"Low",
IF(' BENGALURU HOUSE PRICE'!$G608&lt;=1000000,"Medium",
IF(' BENGALURU HOUSE PRICE'!$G608&lt;=3000000,"High","Luxury")))</f>
        <v>Low</v>
      </c>
    </row>
    <row r="609" spans="1:8" ht="15.75" customHeight="1" x14ac:dyDescent="0.25">
      <c r="A609" s="19" t="s">
        <v>21</v>
      </c>
      <c r="B609" s="19">
        <v>1133</v>
      </c>
      <c r="C609" s="19">
        <v>2</v>
      </c>
      <c r="D609" s="19">
        <v>1</v>
      </c>
      <c r="E609" s="23" t="s">
        <v>262</v>
      </c>
      <c r="F609" s="19" t="str">
        <f t="shared" si="2"/>
        <v>Medium</v>
      </c>
      <c r="G609" s="19">
        <v>490700</v>
      </c>
      <c r="H609" s="19" t="str">
        <f>IF(' BENGALURU HOUSE PRICE'!$G609&lt;=500000,"Low",
IF(' BENGALURU HOUSE PRICE'!$G609&lt;=1000000,"Medium",
IF(' BENGALURU HOUSE PRICE'!$G609&lt;=3000000,"High","Luxury")))</f>
        <v>Low</v>
      </c>
    </row>
    <row r="610" spans="1:8" ht="15.75" customHeight="1" x14ac:dyDescent="0.25">
      <c r="A610" s="19" t="s">
        <v>65</v>
      </c>
      <c r="B610" s="19">
        <v>1075</v>
      </c>
      <c r="C610" s="19">
        <v>2</v>
      </c>
      <c r="D610" s="19">
        <v>1</v>
      </c>
      <c r="E610" s="23" t="s">
        <v>27</v>
      </c>
      <c r="F610" s="19" t="str">
        <f t="shared" si="2"/>
        <v>Medium</v>
      </c>
      <c r="G610" s="19">
        <v>370000</v>
      </c>
      <c r="H610" s="19" t="str">
        <f>IF(' BENGALURU HOUSE PRICE'!$G610&lt;=500000,"Low",
IF(' BENGALURU HOUSE PRICE'!$G610&lt;=1000000,"Medium",
IF(' BENGALURU HOUSE PRICE'!$G610&lt;=3000000,"High","Luxury")))</f>
        <v>Low</v>
      </c>
    </row>
    <row r="611" spans="1:8" ht="15.75" customHeight="1" x14ac:dyDescent="0.25">
      <c r="A611" s="19" t="s">
        <v>390</v>
      </c>
      <c r="B611" s="19">
        <v>3000</v>
      </c>
      <c r="C611" s="19">
        <v>5</v>
      </c>
      <c r="D611" s="19">
        <v>2</v>
      </c>
      <c r="E611" s="23" t="s">
        <v>264</v>
      </c>
      <c r="F611" s="19" t="str">
        <f t="shared" si="2"/>
        <v>Large</v>
      </c>
      <c r="G611" s="19">
        <v>2600000</v>
      </c>
      <c r="H611" s="19" t="str">
        <f>IF(' BENGALURU HOUSE PRICE'!$G611&lt;=500000,"Low",
IF(' BENGALURU HOUSE PRICE'!$G611&lt;=1000000,"Medium",
IF(' BENGALURU HOUSE PRICE'!$G611&lt;=3000000,"High","Luxury")))</f>
        <v>High</v>
      </c>
    </row>
    <row r="612" spans="1:8" ht="15.75" customHeight="1" x14ac:dyDescent="0.25">
      <c r="A612" s="19" t="s">
        <v>68</v>
      </c>
      <c r="B612" s="19">
        <v>2440</v>
      </c>
      <c r="C612" s="19">
        <v>5</v>
      </c>
      <c r="D612" s="19">
        <v>2</v>
      </c>
      <c r="E612" s="23" t="s">
        <v>264</v>
      </c>
      <c r="F612" s="19" t="str">
        <f t="shared" si="2"/>
        <v>Large</v>
      </c>
      <c r="G612" s="19">
        <v>4250000</v>
      </c>
      <c r="H612" s="19" t="str">
        <f>IF(' BENGALURU HOUSE PRICE'!$G612&lt;=500000,"Low",
IF(' BENGALURU HOUSE PRICE'!$G612&lt;=1000000,"Medium",
IF(' BENGALURU HOUSE PRICE'!$G612&lt;=3000000,"High","Luxury")))</f>
        <v>Luxury</v>
      </c>
    </row>
    <row r="613" spans="1:8" ht="15.75" customHeight="1" x14ac:dyDescent="0.25">
      <c r="A613" s="19" t="s">
        <v>244</v>
      </c>
      <c r="B613" s="19">
        <v>1200</v>
      </c>
      <c r="C613" s="19">
        <v>2</v>
      </c>
      <c r="D613" s="19">
        <v>2</v>
      </c>
      <c r="E613" s="23" t="s">
        <v>262</v>
      </c>
      <c r="F613" s="19" t="str">
        <f t="shared" si="2"/>
        <v>Medium</v>
      </c>
      <c r="G613" s="19">
        <v>550000</v>
      </c>
      <c r="H613" s="19" t="str">
        <f>IF(' BENGALURU HOUSE PRICE'!$G613&lt;=500000,"Low",
IF(' BENGALURU HOUSE PRICE'!$G613&lt;=1000000,"Medium",
IF(' BENGALURU HOUSE PRICE'!$G613&lt;=3000000,"High","Luxury")))</f>
        <v>Medium</v>
      </c>
    </row>
    <row r="614" spans="1:8" ht="15.75" customHeight="1" x14ac:dyDescent="0.25">
      <c r="A614" s="19" t="s">
        <v>23</v>
      </c>
      <c r="B614" s="19">
        <v>1075</v>
      </c>
      <c r="C614" s="19">
        <v>2</v>
      </c>
      <c r="D614" s="19">
        <v>2</v>
      </c>
      <c r="E614" s="23" t="s">
        <v>262</v>
      </c>
      <c r="F614" s="19" t="str">
        <f t="shared" si="2"/>
        <v>Medium</v>
      </c>
      <c r="G614" s="19">
        <v>458000</v>
      </c>
      <c r="H614" s="19" t="str">
        <f>IF(' BENGALURU HOUSE PRICE'!$G614&lt;=500000,"Low",
IF(' BENGALURU HOUSE PRICE'!$G614&lt;=1000000,"Medium",
IF(' BENGALURU HOUSE PRICE'!$G614&lt;=3000000,"High","Luxury")))</f>
        <v>Low</v>
      </c>
    </row>
    <row r="615" spans="1:8" ht="15.75" customHeight="1" x14ac:dyDescent="0.25">
      <c r="A615" s="19" t="s">
        <v>137</v>
      </c>
      <c r="B615" s="19">
        <v>1140</v>
      </c>
      <c r="C615" s="19">
        <v>2</v>
      </c>
      <c r="D615" s="19">
        <v>2</v>
      </c>
      <c r="E615" s="23" t="s">
        <v>262</v>
      </c>
      <c r="F615" s="19" t="str">
        <f t="shared" si="2"/>
        <v>Medium</v>
      </c>
      <c r="G615" s="19">
        <v>400000</v>
      </c>
      <c r="H615" s="19" t="str">
        <f>IF(' BENGALURU HOUSE PRICE'!$G615&lt;=500000,"Low",
IF(' BENGALURU HOUSE PRICE'!$G615&lt;=1000000,"Medium",
IF(' BENGALURU HOUSE PRICE'!$G615&lt;=3000000,"High","Luxury")))</f>
        <v>Low</v>
      </c>
    </row>
    <row r="616" spans="1:8" ht="15.75" customHeight="1" x14ac:dyDescent="0.25">
      <c r="A616" s="19" t="s">
        <v>391</v>
      </c>
      <c r="B616" s="19">
        <v>940</v>
      </c>
      <c r="C616" s="19">
        <v>4</v>
      </c>
      <c r="D616" s="19">
        <v>2</v>
      </c>
      <c r="E616" s="23" t="s">
        <v>292</v>
      </c>
      <c r="F616" s="19" t="str">
        <f t="shared" si="2"/>
        <v>Small</v>
      </c>
      <c r="G616" s="19">
        <v>1500000</v>
      </c>
      <c r="H616" s="19" t="str">
        <f>IF(' BENGALURU HOUSE PRICE'!$G616&lt;=500000,"Low",
IF(' BENGALURU HOUSE PRICE'!$G616&lt;=1000000,"Medium",
IF(' BENGALURU HOUSE PRICE'!$G616&lt;=3000000,"High","Luxury")))</f>
        <v>High</v>
      </c>
    </row>
    <row r="617" spans="1:8" ht="15.75" customHeight="1" x14ac:dyDescent="0.25">
      <c r="A617" s="19" t="s">
        <v>126</v>
      </c>
      <c r="B617" s="19">
        <v>2160</v>
      </c>
      <c r="C617" s="19">
        <v>5</v>
      </c>
      <c r="D617" s="19">
        <v>1</v>
      </c>
      <c r="E617" s="23" t="s">
        <v>266</v>
      </c>
      <c r="F617" s="19" t="str">
        <f t="shared" si="2"/>
        <v>Large</v>
      </c>
      <c r="G617" s="19">
        <v>2500000</v>
      </c>
      <c r="H617" s="19" t="str">
        <f>IF(' BENGALURU HOUSE PRICE'!$G617&lt;=500000,"Low",
IF(' BENGALURU HOUSE PRICE'!$G617&lt;=1000000,"Medium",
IF(' BENGALURU HOUSE PRICE'!$G617&lt;=3000000,"High","Luxury")))</f>
        <v>High</v>
      </c>
    </row>
    <row r="618" spans="1:8" ht="15.75" customHeight="1" x14ac:dyDescent="0.25">
      <c r="A618" s="19" t="s">
        <v>21</v>
      </c>
      <c r="B618" s="19">
        <v>1090</v>
      </c>
      <c r="C618" s="19">
        <v>2</v>
      </c>
      <c r="D618" s="19">
        <v>1</v>
      </c>
      <c r="E618" s="23" t="s">
        <v>262</v>
      </c>
      <c r="F618" s="19" t="str">
        <f t="shared" si="2"/>
        <v>Medium</v>
      </c>
      <c r="G618" s="19">
        <v>420000</v>
      </c>
      <c r="H618" s="19" t="str">
        <f>IF(' BENGALURU HOUSE PRICE'!$G618&lt;=500000,"Low",
IF(' BENGALURU HOUSE PRICE'!$G618&lt;=1000000,"Medium",
IF(' BENGALURU HOUSE PRICE'!$G618&lt;=3000000,"High","Luxury")))</f>
        <v>Low</v>
      </c>
    </row>
    <row r="619" spans="1:8" ht="15.75" customHeight="1" x14ac:dyDescent="0.25">
      <c r="A619" s="19" t="s">
        <v>392</v>
      </c>
      <c r="B619" s="19">
        <v>1500</v>
      </c>
      <c r="C619" s="19">
        <v>4</v>
      </c>
      <c r="D619" s="19">
        <v>1</v>
      </c>
      <c r="E619" s="23" t="s">
        <v>264</v>
      </c>
      <c r="F619" s="19" t="str">
        <f t="shared" si="2"/>
        <v>Medium</v>
      </c>
      <c r="G619" s="19">
        <v>700000</v>
      </c>
      <c r="H619" s="19" t="str">
        <f>IF(' BENGALURU HOUSE PRICE'!$G619&lt;=500000,"Low",
IF(' BENGALURU HOUSE PRICE'!$G619&lt;=1000000,"Medium",
IF(' BENGALURU HOUSE PRICE'!$G619&lt;=3000000,"High","Luxury")))</f>
        <v>Medium</v>
      </c>
    </row>
    <row r="620" spans="1:8" ht="15.75" customHeight="1" x14ac:dyDescent="0.25">
      <c r="A620" s="19" t="s">
        <v>25</v>
      </c>
      <c r="B620" s="19">
        <v>4104</v>
      </c>
      <c r="C620" s="19">
        <v>4</v>
      </c>
      <c r="D620" s="19">
        <v>2</v>
      </c>
      <c r="E620" s="23" t="s">
        <v>264</v>
      </c>
      <c r="F620" s="19" t="str">
        <f t="shared" si="2"/>
        <v>Large</v>
      </c>
      <c r="G620" s="19">
        <v>3600000</v>
      </c>
      <c r="H620" s="19" t="str">
        <f>IF(' BENGALURU HOUSE PRICE'!$G620&lt;=500000,"Low",
IF(' BENGALURU HOUSE PRICE'!$G620&lt;=1000000,"Medium",
IF(' BENGALURU HOUSE PRICE'!$G620&lt;=3000000,"High","Luxury")))</f>
        <v>Luxury</v>
      </c>
    </row>
    <row r="621" spans="1:8" ht="15.75" customHeight="1" x14ac:dyDescent="0.25">
      <c r="A621" s="19" t="s">
        <v>25</v>
      </c>
      <c r="B621" s="19">
        <v>1790</v>
      </c>
      <c r="C621" s="19">
        <v>3</v>
      </c>
      <c r="D621" s="19">
        <v>2</v>
      </c>
      <c r="E621" s="23" t="s">
        <v>27</v>
      </c>
      <c r="F621" s="19" t="str">
        <f t="shared" si="2"/>
        <v>Medium</v>
      </c>
      <c r="G621" s="19">
        <v>1000000</v>
      </c>
      <c r="H621" s="19" t="str">
        <f>IF(' BENGALURU HOUSE PRICE'!$G621&lt;=500000,"Low",
IF(' BENGALURU HOUSE PRICE'!$G621&lt;=1000000,"Medium",
IF(' BENGALURU HOUSE PRICE'!$G621&lt;=3000000,"High","Luxury")))</f>
        <v>Medium</v>
      </c>
    </row>
    <row r="622" spans="1:8" ht="15.75" customHeight="1" x14ac:dyDescent="0.25">
      <c r="A622" s="19" t="s">
        <v>18</v>
      </c>
      <c r="B622" s="19">
        <v>1920</v>
      </c>
      <c r="C622" s="19">
        <v>3</v>
      </c>
      <c r="D622" s="19">
        <v>2</v>
      </c>
      <c r="E622" s="23" t="s">
        <v>27</v>
      </c>
      <c r="F622" s="19" t="str">
        <f t="shared" si="2"/>
        <v>Medium</v>
      </c>
      <c r="G622" s="19">
        <v>1340000</v>
      </c>
      <c r="H622" s="19" t="str">
        <f>IF(' BENGALURU HOUSE PRICE'!$G622&lt;=500000,"Low",
IF(' BENGALURU HOUSE PRICE'!$G622&lt;=1000000,"Medium",
IF(' BENGALURU HOUSE PRICE'!$G622&lt;=3000000,"High","Luxury")))</f>
        <v>High</v>
      </c>
    </row>
    <row r="623" spans="1:8" ht="15.75" customHeight="1" x14ac:dyDescent="0.25">
      <c r="A623" s="19" t="s">
        <v>381</v>
      </c>
      <c r="B623" s="19">
        <v>1374</v>
      </c>
      <c r="C623" s="19">
        <v>2</v>
      </c>
      <c r="D623" s="19">
        <v>2</v>
      </c>
      <c r="E623" s="23" t="s">
        <v>262</v>
      </c>
      <c r="F623" s="19" t="str">
        <f t="shared" si="2"/>
        <v>Medium</v>
      </c>
      <c r="G623" s="19">
        <v>950000</v>
      </c>
      <c r="H623" s="19" t="str">
        <f>IF(' BENGALURU HOUSE PRICE'!$G623&lt;=500000,"Low",
IF(' BENGALURU HOUSE PRICE'!$G623&lt;=1000000,"Medium",
IF(' BENGALURU HOUSE PRICE'!$G623&lt;=3000000,"High","Luxury")))</f>
        <v>Medium</v>
      </c>
    </row>
    <row r="624" spans="1:8" ht="15.75" customHeight="1" x14ac:dyDescent="0.25">
      <c r="A624" s="19" t="s">
        <v>52</v>
      </c>
      <c r="B624" s="19">
        <v>1445</v>
      </c>
      <c r="C624" s="19">
        <v>3</v>
      </c>
      <c r="D624" s="19">
        <v>2</v>
      </c>
      <c r="E624" s="23" t="s">
        <v>27</v>
      </c>
      <c r="F624" s="19" t="str">
        <f t="shared" si="2"/>
        <v>Medium</v>
      </c>
      <c r="G624" s="19">
        <v>950000</v>
      </c>
      <c r="H624" s="19" t="str">
        <f>IF(' BENGALURU HOUSE PRICE'!$G624&lt;=500000,"Low",
IF(' BENGALURU HOUSE PRICE'!$G624&lt;=1000000,"Medium",
IF(' BENGALURU HOUSE PRICE'!$G624&lt;=3000000,"High","Luxury")))</f>
        <v>Medium</v>
      </c>
    </row>
    <row r="625" spans="1:8" ht="15.75" customHeight="1" x14ac:dyDescent="0.25">
      <c r="A625" s="19" t="s">
        <v>143</v>
      </c>
      <c r="B625" s="19">
        <v>711</v>
      </c>
      <c r="C625" s="19">
        <v>1</v>
      </c>
      <c r="D625" s="19">
        <v>1</v>
      </c>
      <c r="E625" s="23" t="s">
        <v>267</v>
      </c>
      <c r="F625" s="19" t="str">
        <f t="shared" si="2"/>
        <v>Small</v>
      </c>
      <c r="G625" s="19">
        <v>360000</v>
      </c>
      <c r="H625" s="19" t="str">
        <f>IF(' BENGALURU HOUSE PRICE'!$G625&lt;=500000,"Low",
IF(' BENGALURU HOUSE PRICE'!$G625&lt;=1000000,"Medium",
IF(' BENGALURU HOUSE PRICE'!$G625&lt;=3000000,"High","Luxury")))</f>
        <v>Low</v>
      </c>
    </row>
    <row r="626" spans="1:8" ht="15.75" customHeight="1" x14ac:dyDescent="0.25">
      <c r="A626" s="19" t="s">
        <v>235</v>
      </c>
      <c r="B626" s="19">
        <v>1500</v>
      </c>
      <c r="C626" s="19">
        <v>3</v>
      </c>
      <c r="D626" s="19">
        <v>3</v>
      </c>
      <c r="E626" s="23" t="s">
        <v>27</v>
      </c>
      <c r="F626" s="19" t="str">
        <f t="shared" si="2"/>
        <v>Medium</v>
      </c>
      <c r="G626" s="19">
        <v>950000</v>
      </c>
      <c r="H626" s="19" t="str">
        <f>IF(' BENGALURU HOUSE PRICE'!$G626&lt;=500000,"Low",
IF(' BENGALURU HOUSE PRICE'!$G626&lt;=1000000,"Medium",
IF(' BENGALURU HOUSE PRICE'!$G626&lt;=3000000,"High","Luxury")))</f>
        <v>Medium</v>
      </c>
    </row>
    <row r="627" spans="1:8" ht="15.75" customHeight="1" x14ac:dyDescent="0.25">
      <c r="A627" s="19" t="s">
        <v>25</v>
      </c>
      <c r="B627" s="19">
        <v>1720</v>
      </c>
      <c r="C627" s="19">
        <v>3</v>
      </c>
      <c r="D627" s="19">
        <v>3</v>
      </c>
      <c r="E627" s="23" t="s">
        <v>27</v>
      </c>
      <c r="F627" s="19" t="str">
        <f t="shared" si="2"/>
        <v>Medium</v>
      </c>
      <c r="G627" s="19">
        <v>1000000</v>
      </c>
      <c r="H627" s="19" t="str">
        <f>IF(' BENGALURU HOUSE PRICE'!$G627&lt;=500000,"Low",
IF(' BENGALURU HOUSE PRICE'!$G627&lt;=1000000,"Medium",
IF(' BENGALURU HOUSE PRICE'!$G627&lt;=3000000,"High","Luxury")))</f>
        <v>Medium</v>
      </c>
    </row>
    <row r="628" spans="1:8" ht="15.75" customHeight="1" x14ac:dyDescent="0.25">
      <c r="A628" s="19" t="s">
        <v>243</v>
      </c>
      <c r="B628" s="19">
        <v>1400</v>
      </c>
      <c r="C628" s="19">
        <v>3</v>
      </c>
      <c r="D628" s="19">
        <v>2</v>
      </c>
      <c r="E628" s="23" t="s">
        <v>27</v>
      </c>
      <c r="F628" s="19" t="str">
        <f t="shared" si="2"/>
        <v>Medium</v>
      </c>
      <c r="G628" s="19">
        <v>600000</v>
      </c>
      <c r="H628" s="19" t="str">
        <f>IF(' BENGALURU HOUSE PRICE'!$G628&lt;=500000,"Low",
IF(' BENGALURU HOUSE PRICE'!$G628&lt;=1000000,"Medium",
IF(' BENGALURU HOUSE PRICE'!$G628&lt;=3000000,"High","Luxury")))</f>
        <v>Medium</v>
      </c>
    </row>
    <row r="629" spans="1:8" ht="15.75" customHeight="1" x14ac:dyDescent="0.25">
      <c r="A629" s="19" t="s">
        <v>162</v>
      </c>
      <c r="B629" s="19">
        <v>1030</v>
      </c>
      <c r="C629" s="19">
        <v>2</v>
      </c>
      <c r="D629" s="19">
        <v>2</v>
      </c>
      <c r="E629" s="23" t="s">
        <v>262</v>
      </c>
      <c r="F629" s="19" t="str">
        <f t="shared" si="2"/>
        <v>Medium</v>
      </c>
      <c r="G629" s="19">
        <v>490000</v>
      </c>
      <c r="H629" s="19" t="str">
        <f>IF(' BENGALURU HOUSE PRICE'!$G629&lt;=500000,"Low",
IF(' BENGALURU HOUSE PRICE'!$G629&lt;=1000000,"Medium",
IF(' BENGALURU HOUSE PRICE'!$G629&lt;=3000000,"High","Luxury")))</f>
        <v>Low</v>
      </c>
    </row>
    <row r="630" spans="1:8" ht="15.75" customHeight="1" x14ac:dyDescent="0.25">
      <c r="A630" s="19" t="s">
        <v>182</v>
      </c>
      <c r="B630" s="19">
        <v>1200</v>
      </c>
      <c r="C630" s="19">
        <v>2</v>
      </c>
      <c r="D630" s="19">
        <v>1</v>
      </c>
      <c r="E630" s="23" t="s">
        <v>262</v>
      </c>
      <c r="F630" s="19" t="str">
        <f t="shared" si="2"/>
        <v>Medium</v>
      </c>
      <c r="G630" s="19">
        <v>850000</v>
      </c>
      <c r="H630" s="19" t="str">
        <f>IF(' BENGALURU HOUSE PRICE'!$G630&lt;=500000,"Low",
IF(' BENGALURU HOUSE PRICE'!$G630&lt;=1000000,"Medium",
IF(' BENGALURU HOUSE PRICE'!$G630&lt;=3000000,"High","Luxury")))</f>
        <v>Medium</v>
      </c>
    </row>
    <row r="631" spans="1:8" ht="15.75" customHeight="1" x14ac:dyDescent="0.25">
      <c r="A631" s="19" t="s">
        <v>118</v>
      </c>
      <c r="B631" s="19">
        <v>1375</v>
      </c>
      <c r="C631" s="19">
        <v>3</v>
      </c>
      <c r="D631" s="19">
        <v>2</v>
      </c>
      <c r="E631" s="23" t="s">
        <v>27</v>
      </c>
      <c r="F631" s="19" t="str">
        <f t="shared" si="2"/>
        <v>Medium</v>
      </c>
      <c r="G631" s="19">
        <v>700000</v>
      </c>
      <c r="H631" s="19" t="str">
        <f>IF(' BENGALURU HOUSE PRICE'!$G631&lt;=500000,"Low",
IF(' BENGALURU HOUSE PRICE'!$G631&lt;=1000000,"Medium",
IF(' BENGALURU HOUSE PRICE'!$G631&lt;=3000000,"High","Luxury")))</f>
        <v>Medium</v>
      </c>
    </row>
    <row r="632" spans="1:8" ht="15.75" customHeight="1" x14ac:dyDescent="0.25">
      <c r="A632" s="19" t="s">
        <v>110</v>
      </c>
      <c r="B632" s="19">
        <v>1050</v>
      </c>
      <c r="C632" s="19">
        <v>1</v>
      </c>
      <c r="D632" s="19">
        <v>2</v>
      </c>
      <c r="E632" s="23" t="s">
        <v>262</v>
      </c>
      <c r="F632" s="19" t="str">
        <f t="shared" si="2"/>
        <v>Medium</v>
      </c>
      <c r="G632" s="19">
        <v>560000</v>
      </c>
      <c r="H632" s="19" t="str">
        <f>IF(' BENGALURU HOUSE PRICE'!$G632&lt;=500000,"Low",
IF(' BENGALURU HOUSE PRICE'!$G632&lt;=1000000,"Medium",
IF(' BENGALURU HOUSE PRICE'!$G632&lt;=3000000,"High","Luxury")))</f>
        <v>Medium</v>
      </c>
    </row>
    <row r="633" spans="1:8" ht="15.75" customHeight="1" x14ac:dyDescent="0.25">
      <c r="A633" s="19" t="s">
        <v>130</v>
      </c>
      <c r="B633" s="19">
        <v>2250</v>
      </c>
      <c r="C633" s="19">
        <v>3</v>
      </c>
      <c r="D633" s="19">
        <v>2</v>
      </c>
      <c r="E633" s="23" t="s">
        <v>27</v>
      </c>
      <c r="F633" s="19" t="str">
        <f t="shared" si="2"/>
        <v>Large</v>
      </c>
      <c r="G633" s="19">
        <v>1600000</v>
      </c>
      <c r="H633" s="19" t="str">
        <f>IF(' BENGALURU HOUSE PRICE'!$G633&lt;=500000,"Low",
IF(' BENGALURU HOUSE PRICE'!$G633&lt;=1000000,"Medium",
IF(' BENGALURU HOUSE PRICE'!$G633&lt;=3000000,"High","Luxury")))</f>
        <v>High</v>
      </c>
    </row>
    <row r="634" spans="1:8" ht="15.75" customHeight="1" x14ac:dyDescent="0.25">
      <c r="A634" s="19" t="s">
        <v>59</v>
      </c>
      <c r="B634" s="19">
        <v>1000</v>
      </c>
      <c r="C634" s="19">
        <v>2</v>
      </c>
      <c r="D634" s="19">
        <v>2</v>
      </c>
      <c r="E634" s="23" t="s">
        <v>262</v>
      </c>
      <c r="F634" s="19" t="str">
        <f t="shared" si="2"/>
        <v>Small</v>
      </c>
      <c r="G634" s="19">
        <v>500000</v>
      </c>
      <c r="H634" s="19" t="str">
        <f>IF(' BENGALURU HOUSE PRICE'!$G634&lt;=500000,"Low",
IF(' BENGALURU HOUSE PRICE'!$G634&lt;=1000000,"Medium",
IF(' BENGALURU HOUSE PRICE'!$G634&lt;=3000000,"High","Luxury")))</f>
        <v>Low</v>
      </c>
    </row>
    <row r="635" spans="1:8" ht="15.75" customHeight="1" x14ac:dyDescent="0.25">
      <c r="A635" s="19" t="s">
        <v>284</v>
      </c>
      <c r="B635" s="19">
        <v>469</v>
      </c>
      <c r="C635" s="19">
        <v>1</v>
      </c>
      <c r="D635" s="19">
        <v>0</v>
      </c>
      <c r="E635" s="23" t="s">
        <v>267</v>
      </c>
      <c r="F635" s="19" t="str">
        <f t="shared" si="2"/>
        <v>Small</v>
      </c>
      <c r="G635" s="19">
        <v>250000</v>
      </c>
      <c r="H635" s="19" t="str">
        <f>IF(' BENGALURU HOUSE PRICE'!$G635&lt;=500000,"Low",
IF(' BENGALURU HOUSE PRICE'!$G635&lt;=1000000,"Medium",
IF(' BENGALURU HOUSE PRICE'!$G635&lt;=3000000,"High","Luxury")))</f>
        <v>Low</v>
      </c>
    </row>
    <row r="636" spans="1:8" ht="15.75" customHeight="1" x14ac:dyDescent="0.25">
      <c r="A636" s="19" t="s">
        <v>20</v>
      </c>
      <c r="B636" s="19">
        <v>3800</v>
      </c>
      <c r="C636" s="19">
        <v>4</v>
      </c>
      <c r="D636" s="19">
        <v>3</v>
      </c>
      <c r="E636" s="23" t="s">
        <v>264</v>
      </c>
      <c r="F636" s="19" t="str">
        <f t="shared" si="2"/>
        <v>Large</v>
      </c>
      <c r="G636" s="19">
        <v>2500000</v>
      </c>
      <c r="H636" s="19" t="str">
        <f>IF(' BENGALURU HOUSE PRICE'!$G636&lt;=500000,"Low",
IF(' BENGALURU HOUSE PRICE'!$G636&lt;=1000000,"Medium",
IF(' BENGALURU HOUSE PRICE'!$G636&lt;=3000000,"High","Luxury")))</f>
        <v>High</v>
      </c>
    </row>
    <row r="637" spans="1:8" ht="15.75" customHeight="1" x14ac:dyDescent="0.25">
      <c r="A637" s="19" t="s">
        <v>141</v>
      </c>
      <c r="B637" s="19">
        <v>883</v>
      </c>
      <c r="C637" s="19">
        <v>2</v>
      </c>
      <c r="D637" s="19">
        <v>1</v>
      </c>
      <c r="E637" s="23" t="s">
        <v>262</v>
      </c>
      <c r="F637" s="19" t="str">
        <f t="shared" si="2"/>
        <v>Small</v>
      </c>
      <c r="G637" s="19">
        <v>290000</v>
      </c>
      <c r="H637" s="19" t="str">
        <f>IF(' BENGALURU HOUSE PRICE'!$G637&lt;=500000,"Low",
IF(' BENGALURU HOUSE PRICE'!$G637&lt;=1000000,"Medium",
IF(' BENGALURU HOUSE PRICE'!$G637&lt;=3000000,"High","Luxury")))</f>
        <v>Low</v>
      </c>
    </row>
    <row r="638" spans="1:8" ht="15.75" customHeight="1" x14ac:dyDescent="0.25">
      <c r="A638" s="19" t="s">
        <v>101</v>
      </c>
      <c r="B638" s="19">
        <v>1820</v>
      </c>
      <c r="C638" s="19">
        <v>2</v>
      </c>
      <c r="D638" s="19">
        <v>3</v>
      </c>
      <c r="E638" s="23" t="s">
        <v>27</v>
      </c>
      <c r="F638" s="19" t="str">
        <f t="shared" si="2"/>
        <v>Medium</v>
      </c>
      <c r="G638" s="19">
        <v>860000</v>
      </c>
      <c r="H638" s="19" t="str">
        <f>IF(' BENGALURU HOUSE PRICE'!$G638&lt;=500000,"Low",
IF(' BENGALURU HOUSE PRICE'!$G638&lt;=1000000,"Medium",
IF(' BENGALURU HOUSE PRICE'!$G638&lt;=3000000,"High","Luxury")))</f>
        <v>Medium</v>
      </c>
    </row>
    <row r="639" spans="1:8" ht="15.75" customHeight="1" x14ac:dyDescent="0.25">
      <c r="A639" s="19" t="s">
        <v>216</v>
      </c>
      <c r="B639" s="19">
        <v>1440</v>
      </c>
      <c r="C639" s="19">
        <v>2</v>
      </c>
      <c r="D639" s="19">
        <v>3</v>
      </c>
      <c r="E639" s="23" t="s">
        <v>27</v>
      </c>
      <c r="F639" s="19" t="str">
        <f t="shared" si="2"/>
        <v>Medium</v>
      </c>
      <c r="G639" s="19">
        <v>650000</v>
      </c>
      <c r="H639" s="19" t="str">
        <f>IF(' BENGALURU HOUSE PRICE'!$G639&lt;=500000,"Low",
IF(' BENGALURU HOUSE PRICE'!$G639&lt;=1000000,"Medium",
IF(' BENGALURU HOUSE PRICE'!$G639&lt;=3000000,"High","Luxury")))</f>
        <v>Medium</v>
      </c>
    </row>
    <row r="640" spans="1:8" ht="15.75" customHeight="1" x14ac:dyDescent="0.25">
      <c r="A640" s="19" t="s">
        <v>393</v>
      </c>
      <c r="B640" s="19">
        <v>3600</v>
      </c>
      <c r="C640" s="19">
        <v>4</v>
      </c>
      <c r="D640" s="19">
        <v>1</v>
      </c>
      <c r="E640" s="23" t="s">
        <v>266</v>
      </c>
      <c r="F640" s="19" t="str">
        <f t="shared" si="2"/>
        <v>Large</v>
      </c>
      <c r="G640" s="19">
        <v>1600000</v>
      </c>
      <c r="H640" s="19" t="str">
        <f>IF(' BENGALURU HOUSE PRICE'!$G640&lt;=500000,"Low",
IF(' BENGALURU HOUSE PRICE'!$G640&lt;=1000000,"Medium",
IF(' BENGALURU HOUSE PRICE'!$G640&lt;=3000000,"High","Luxury")))</f>
        <v>High</v>
      </c>
    </row>
    <row r="641" spans="1:8" ht="15.75" customHeight="1" x14ac:dyDescent="0.25">
      <c r="A641" s="19" t="s">
        <v>171</v>
      </c>
      <c r="B641" s="19">
        <v>2500</v>
      </c>
      <c r="C641" s="19">
        <v>5</v>
      </c>
      <c r="D641" s="19">
        <v>2</v>
      </c>
      <c r="E641" s="23" t="s">
        <v>264</v>
      </c>
      <c r="F641" s="19" t="str">
        <f t="shared" si="2"/>
        <v>Large</v>
      </c>
      <c r="G641" s="19">
        <v>3250000</v>
      </c>
      <c r="H641" s="19" t="str">
        <f>IF(' BENGALURU HOUSE PRICE'!$G641&lt;=500000,"Low",
IF(' BENGALURU HOUSE PRICE'!$G641&lt;=1000000,"Medium",
IF(' BENGALURU HOUSE PRICE'!$G641&lt;=3000000,"High","Luxury")))</f>
        <v>Luxury</v>
      </c>
    </row>
    <row r="642" spans="1:8" ht="15.75" customHeight="1" x14ac:dyDescent="0.25">
      <c r="A642" s="19" t="s">
        <v>169</v>
      </c>
      <c r="B642" s="19">
        <v>1225</v>
      </c>
      <c r="C642" s="19">
        <v>2</v>
      </c>
      <c r="D642" s="19">
        <v>2</v>
      </c>
      <c r="E642" s="23" t="s">
        <v>262</v>
      </c>
      <c r="F642" s="19" t="str">
        <f t="shared" si="2"/>
        <v>Medium</v>
      </c>
      <c r="G642" s="19">
        <v>480000</v>
      </c>
      <c r="H642" s="19" t="str">
        <f>IF(' BENGALURU HOUSE PRICE'!$G642&lt;=500000,"Low",
IF(' BENGALURU HOUSE PRICE'!$G642&lt;=1000000,"Medium",
IF(' BENGALURU HOUSE PRICE'!$G642&lt;=3000000,"High","Luxury")))</f>
        <v>Low</v>
      </c>
    </row>
    <row r="643" spans="1:8" ht="15.75" customHeight="1" x14ac:dyDescent="0.25">
      <c r="A643" s="19" t="s">
        <v>31</v>
      </c>
      <c r="B643" s="19">
        <v>4000</v>
      </c>
      <c r="C643" s="19">
        <v>3</v>
      </c>
      <c r="D643" s="19">
        <v>1</v>
      </c>
      <c r="E643" s="23" t="s">
        <v>27</v>
      </c>
      <c r="F643" s="19" t="str">
        <f t="shared" si="2"/>
        <v>Large</v>
      </c>
      <c r="G643" s="19">
        <v>6600000</v>
      </c>
      <c r="H643" s="19" t="str">
        <f>IF(' BENGALURU HOUSE PRICE'!$G643&lt;=500000,"Low",
IF(' BENGALURU HOUSE PRICE'!$G643&lt;=1000000,"Medium",
IF(' BENGALURU HOUSE PRICE'!$G643&lt;=3000000,"High","Luxury")))</f>
        <v>Luxury</v>
      </c>
    </row>
    <row r="644" spans="1:8" ht="15.75" customHeight="1" x14ac:dyDescent="0.25">
      <c r="A644" s="19" t="s">
        <v>78</v>
      </c>
      <c r="B644" s="19">
        <v>875</v>
      </c>
      <c r="C644" s="19">
        <v>2</v>
      </c>
      <c r="D644" s="19">
        <v>3</v>
      </c>
      <c r="E644" s="23" t="s">
        <v>262</v>
      </c>
      <c r="F644" s="19" t="str">
        <f t="shared" si="2"/>
        <v>Small</v>
      </c>
      <c r="G644" s="19">
        <v>528000</v>
      </c>
      <c r="H644" s="19" t="str">
        <f>IF(' BENGALURU HOUSE PRICE'!$G644&lt;=500000,"Low",
IF(' BENGALURU HOUSE PRICE'!$G644&lt;=1000000,"Medium",
IF(' BENGALURU HOUSE PRICE'!$G644&lt;=3000000,"High","Luxury")))</f>
        <v>Medium</v>
      </c>
    </row>
    <row r="645" spans="1:8" ht="15.75" customHeight="1" x14ac:dyDescent="0.25">
      <c r="A645" s="19" t="s">
        <v>131</v>
      </c>
      <c r="B645" s="19">
        <v>750</v>
      </c>
      <c r="C645" s="19">
        <v>1</v>
      </c>
      <c r="D645" s="19">
        <v>2</v>
      </c>
      <c r="E645" s="23" t="s">
        <v>267</v>
      </c>
      <c r="F645" s="19" t="str">
        <f t="shared" si="2"/>
        <v>Small</v>
      </c>
      <c r="G645" s="19">
        <v>400000</v>
      </c>
      <c r="H645" s="19" t="str">
        <f>IF(' BENGALURU HOUSE PRICE'!$G645&lt;=500000,"Low",
IF(' BENGALURU HOUSE PRICE'!$G645&lt;=1000000,"Medium",
IF(' BENGALURU HOUSE PRICE'!$G645&lt;=3000000,"High","Luxury")))</f>
        <v>Low</v>
      </c>
    </row>
    <row r="646" spans="1:8" ht="15.75" customHeight="1" x14ac:dyDescent="0.25">
      <c r="A646" s="19" t="s">
        <v>330</v>
      </c>
      <c r="B646" s="19">
        <v>1180</v>
      </c>
      <c r="C646" s="19">
        <v>2</v>
      </c>
      <c r="D646" s="19">
        <v>3</v>
      </c>
      <c r="E646" s="23" t="s">
        <v>262</v>
      </c>
      <c r="F646" s="19" t="str">
        <f t="shared" si="2"/>
        <v>Medium</v>
      </c>
      <c r="G646" s="19">
        <v>800000</v>
      </c>
      <c r="H646" s="19" t="str">
        <f>IF(' BENGALURU HOUSE PRICE'!$G646&lt;=500000,"Low",
IF(' BENGALURU HOUSE PRICE'!$G646&lt;=1000000,"Medium",
IF(' BENGALURU HOUSE PRICE'!$G646&lt;=3000000,"High","Luxury")))</f>
        <v>Medium</v>
      </c>
    </row>
    <row r="647" spans="1:8" ht="15.75" customHeight="1" x14ac:dyDescent="0.25">
      <c r="A647" s="19" t="s">
        <v>17</v>
      </c>
      <c r="B647" s="19">
        <v>1194</v>
      </c>
      <c r="C647" s="19">
        <v>2</v>
      </c>
      <c r="D647" s="19">
        <v>2</v>
      </c>
      <c r="E647" s="23" t="s">
        <v>262</v>
      </c>
      <c r="F647" s="19" t="str">
        <f t="shared" si="2"/>
        <v>Medium</v>
      </c>
      <c r="G647" s="19">
        <v>470000</v>
      </c>
      <c r="H647" s="19" t="str">
        <f>IF(' BENGALURU HOUSE PRICE'!$G647&lt;=500000,"Low",
IF(' BENGALURU HOUSE PRICE'!$G647&lt;=1000000,"Medium",
IF(' BENGALURU HOUSE PRICE'!$G647&lt;=3000000,"High","Luxury")))</f>
        <v>Low</v>
      </c>
    </row>
    <row r="648" spans="1:8" ht="15.75" customHeight="1" x14ac:dyDescent="0.25">
      <c r="A648" s="19" t="s">
        <v>111</v>
      </c>
      <c r="B648" s="19">
        <v>1500</v>
      </c>
      <c r="C648" s="19">
        <v>2</v>
      </c>
      <c r="D648" s="19">
        <v>2</v>
      </c>
      <c r="E648" s="23" t="s">
        <v>27</v>
      </c>
      <c r="F648" s="19" t="str">
        <f t="shared" si="2"/>
        <v>Medium</v>
      </c>
      <c r="G648" s="19">
        <v>620000</v>
      </c>
      <c r="H648" s="19" t="str">
        <f>IF(' BENGALURU HOUSE PRICE'!$G648&lt;=500000,"Low",
IF(' BENGALURU HOUSE PRICE'!$G648&lt;=1000000,"Medium",
IF(' BENGALURU HOUSE PRICE'!$G648&lt;=3000000,"High","Luxury")))</f>
        <v>Medium</v>
      </c>
    </row>
    <row r="649" spans="1:8" ht="15.75" customHeight="1" x14ac:dyDescent="0.25">
      <c r="A649" s="19" t="s">
        <v>394</v>
      </c>
      <c r="B649" s="19">
        <v>1160</v>
      </c>
      <c r="C649" s="19">
        <v>2</v>
      </c>
      <c r="D649" s="19">
        <v>2</v>
      </c>
      <c r="E649" s="23" t="s">
        <v>262</v>
      </c>
      <c r="F649" s="19" t="str">
        <f t="shared" si="2"/>
        <v>Medium</v>
      </c>
      <c r="G649" s="19">
        <v>522000</v>
      </c>
      <c r="H649" s="19" t="str">
        <f>IF(' BENGALURU HOUSE PRICE'!$G649&lt;=500000,"Low",
IF(' BENGALURU HOUSE PRICE'!$G649&lt;=1000000,"Medium",
IF(' BENGALURU HOUSE PRICE'!$G649&lt;=3000000,"High","Luxury")))</f>
        <v>Medium</v>
      </c>
    </row>
    <row r="650" spans="1:8" ht="15.75" customHeight="1" x14ac:dyDescent="0.25">
      <c r="A650" s="19" t="s">
        <v>42</v>
      </c>
      <c r="B650" s="19">
        <v>1559</v>
      </c>
      <c r="C650" s="19">
        <v>9</v>
      </c>
      <c r="D650" s="19">
        <v>2</v>
      </c>
      <c r="E650" s="23" t="s">
        <v>377</v>
      </c>
      <c r="F650" s="19" t="str">
        <f t="shared" si="2"/>
        <v>Medium</v>
      </c>
      <c r="G650" s="19">
        <v>2650000</v>
      </c>
      <c r="H650" s="19" t="str">
        <f>IF(' BENGALURU HOUSE PRICE'!$G650&lt;=500000,"Low",
IF(' BENGALURU HOUSE PRICE'!$G650&lt;=1000000,"Medium",
IF(' BENGALURU HOUSE PRICE'!$G650&lt;=3000000,"High","Luxury")))</f>
        <v>High</v>
      </c>
    </row>
    <row r="651" spans="1:8" ht="15.75" customHeight="1" x14ac:dyDescent="0.25">
      <c r="A651" s="19" t="s">
        <v>119</v>
      </c>
      <c r="B651" s="19">
        <v>2378</v>
      </c>
      <c r="C651" s="19">
        <v>3</v>
      </c>
      <c r="D651" s="19">
        <v>1</v>
      </c>
      <c r="E651" s="23" t="s">
        <v>27</v>
      </c>
      <c r="F651" s="19" t="str">
        <f t="shared" si="2"/>
        <v>Large</v>
      </c>
      <c r="G651" s="19">
        <v>2620000</v>
      </c>
      <c r="H651" s="19" t="str">
        <f>IF(' BENGALURU HOUSE PRICE'!$G651&lt;=500000,"Low",
IF(' BENGALURU HOUSE PRICE'!$G651&lt;=1000000,"Medium",
IF(' BENGALURU HOUSE PRICE'!$G651&lt;=3000000,"High","Luxury")))</f>
        <v>High</v>
      </c>
    </row>
    <row r="652" spans="1:8" ht="15.75" customHeight="1" x14ac:dyDescent="0.25">
      <c r="A652" s="19" t="s">
        <v>210</v>
      </c>
      <c r="B652" s="19">
        <v>1128</v>
      </c>
      <c r="C652" s="19">
        <v>2</v>
      </c>
      <c r="D652" s="19">
        <v>1</v>
      </c>
      <c r="E652" s="23" t="s">
        <v>262</v>
      </c>
      <c r="F652" s="19" t="str">
        <f t="shared" si="2"/>
        <v>Medium</v>
      </c>
      <c r="G652" s="19">
        <v>600000</v>
      </c>
      <c r="H652" s="19" t="str">
        <f>IF(' BENGALURU HOUSE PRICE'!$G652&lt;=500000,"Low",
IF(' BENGALURU HOUSE PRICE'!$G652&lt;=1000000,"Medium",
IF(' BENGALURU HOUSE PRICE'!$G652&lt;=3000000,"High","Luxury")))</f>
        <v>Medium</v>
      </c>
    </row>
    <row r="653" spans="1:8" ht="15.75" customHeight="1" x14ac:dyDescent="0.25">
      <c r="A653" s="19" t="s">
        <v>18</v>
      </c>
      <c r="B653" s="19">
        <v>1500</v>
      </c>
      <c r="C653" s="19">
        <v>3</v>
      </c>
      <c r="D653" s="19">
        <v>1</v>
      </c>
      <c r="E653" s="23" t="s">
        <v>27</v>
      </c>
      <c r="F653" s="19" t="str">
        <f t="shared" si="2"/>
        <v>Medium</v>
      </c>
      <c r="G653" s="19">
        <v>1500000</v>
      </c>
      <c r="H653" s="19" t="str">
        <f>IF(' BENGALURU HOUSE PRICE'!$G653&lt;=500000,"Low",
IF(' BENGALURU HOUSE PRICE'!$G653&lt;=1000000,"Medium",
IF(' BENGALURU HOUSE PRICE'!$G653&lt;=3000000,"High","Luxury")))</f>
        <v>High</v>
      </c>
    </row>
    <row r="654" spans="1:8" ht="15.75" customHeight="1" x14ac:dyDescent="0.25">
      <c r="A654" s="19" t="s">
        <v>124</v>
      </c>
      <c r="B654" s="19">
        <v>1220</v>
      </c>
      <c r="C654" s="19">
        <v>2</v>
      </c>
      <c r="D654" s="19">
        <v>1</v>
      </c>
      <c r="E654" s="23" t="s">
        <v>27</v>
      </c>
      <c r="F654" s="19" t="str">
        <f t="shared" si="2"/>
        <v>Medium</v>
      </c>
      <c r="G654" s="19">
        <v>352300</v>
      </c>
      <c r="H654" s="19" t="str">
        <f>IF(' BENGALURU HOUSE PRICE'!$G654&lt;=500000,"Low",
IF(' BENGALURU HOUSE PRICE'!$G654&lt;=1000000,"Medium",
IF(' BENGALURU HOUSE PRICE'!$G654&lt;=3000000,"High","Luxury")))</f>
        <v>Low</v>
      </c>
    </row>
    <row r="655" spans="1:8" ht="15.75" customHeight="1" x14ac:dyDescent="0.25">
      <c r="A655" s="19" t="s">
        <v>22</v>
      </c>
      <c r="B655" s="19">
        <v>1210</v>
      </c>
      <c r="C655" s="19">
        <v>2</v>
      </c>
      <c r="D655" s="19">
        <v>2</v>
      </c>
      <c r="E655" s="23" t="s">
        <v>262</v>
      </c>
      <c r="F655" s="19" t="str">
        <f t="shared" si="2"/>
        <v>Medium</v>
      </c>
      <c r="G655" s="19">
        <v>580000</v>
      </c>
      <c r="H655" s="19" t="str">
        <f>IF(' BENGALURU HOUSE PRICE'!$G655&lt;=500000,"Low",
IF(' BENGALURU HOUSE PRICE'!$G655&lt;=1000000,"Medium",
IF(' BENGALURU HOUSE PRICE'!$G655&lt;=3000000,"High","Luxury")))</f>
        <v>Medium</v>
      </c>
    </row>
    <row r="656" spans="1:8" ht="15.75" customHeight="1" x14ac:dyDescent="0.25">
      <c r="A656" s="19" t="s">
        <v>19</v>
      </c>
      <c r="B656" s="19">
        <v>1100</v>
      </c>
      <c r="C656" s="19">
        <v>2</v>
      </c>
      <c r="D656" s="19">
        <v>1</v>
      </c>
      <c r="E656" s="23" t="s">
        <v>27</v>
      </c>
      <c r="F656" s="19" t="str">
        <f t="shared" si="2"/>
        <v>Medium</v>
      </c>
      <c r="G656" s="19">
        <v>580000</v>
      </c>
      <c r="H656" s="19" t="str">
        <f>IF(' BENGALURU HOUSE PRICE'!$G656&lt;=500000,"Low",
IF(' BENGALURU HOUSE PRICE'!$G656&lt;=1000000,"Medium",
IF(' BENGALURU HOUSE PRICE'!$G656&lt;=3000000,"High","Luxury")))</f>
        <v>Medium</v>
      </c>
    </row>
    <row r="657" spans="1:8" ht="15.75" customHeight="1" x14ac:dyDescent="0.25">
      <c r="A657" s="19" t="s">
        <v>66</v>
      </c>
      <c r="B657" s="19">
        <v>1200</v>
      </c>
      <c r="C657" s="19">
        <v>3</v>
      </c>
      <c r="D657" s="19">
        <v>2</v>
      </c>
      <c r="E657" s="23" t="s">
        <v>27</v>
      </c>
      <c r="F657" s="19" t="str">
        <f t="shared" si="2"/>
        <v>Medium</v>
      </c>
      <c r="G657" s="19">
        <v>460000</v>
      </c>
      <c r="H657" s="19" t="str">
        <f>IF(' BENGALURU HOUSE PRICE'!$G657&lt;=500000,"Low",
IF(' BENGALURU HOUSE PRICE'!$G657&lt;=1000000,"Medium",
IF(' BENGALURU HOUSE PRICE'!$G657&lt;=3000000,"High","Luxury")))</f>
        <v>Low</v>
      </c>
    </row>
    <row r="658" spans="1:8" ht="15.75" customHeight="1" x14ac:dyDescent="0.25">
      <c r="A658" s="19" t="s">
        <v>17</v>
      </c>
      <c r="B658" s="19">
        <v>3385</v>
      </c>
      <c r="C658" s="19">
        <v>5</v>
      </c>
      <c r="D658" s="19">
        <v>2</v>
      </c>
      <c r="E658" s="23" t="s">
        <v>264</v>
      </c>
      <c r="F658" s="19" t="str">
        <f t="shared" si="2"/>
        <v>Large</v>
      </c>
      <c r="G658" s="19">
        <v>2600000</v>
      </c>
      <c r="H658" s="19" t="str">
        <f>IF(' BENGALURU HOUSE PRICE'!$G658&lt;=500000,"Low",
IF(' BENGALURU HOUSE PRICE'!$G658&lt;=1000000,"Medium",
IF(' BENGALURU HOUSE PRICE'!$G658&lt;=3000000,"High","Luxury")))</f>
        <v>High</v>
      </c>
    </row>
    <row r="659" spans="1:8" ht="15.75" customHeight="1" x14ac:dyDescent="0.25">
      <c r="A659" s="19" t="s">
        <v>184</v>
      </c>
      <c r="B659" s="19">
        <v>1641</v>
      </c>
      <c r="C659" s="19">
        <v>3</v>
      </c>
      <c r="D659" s="19">
        <v>2</v>
      </c>
      <c r="E659" s="23" t="s">
        <v>27</v>
      </c>
      <c r="F659" s="19" t="str">
        <f t="shared" si="2"/>
        <v>Medium</v>
      </c>
      <c r="G659" s="19">
        <v>660000</v>
      </c>
      <c r="H659" s="19" t="str">
        <f>IF(' BENGALURU HOUSE PRICE'!$G659&lt;=500000,"Low",
IF(' BENGALURU HOUSE PRICE'!$G659&lt;=1000000,"Medium",
IF(' BENGALURU HOUSE PRICE'!$G659&lt;=3000000,"High","Luxury")))</f>
        <v>Medium</v>
      </c>
    </row>
    <row r="660" spans="1:8" ht="15.75" customHeight="1" x14ac:dyDescent="0.25">
      <c r="A660" s="19" t="s">
        <v>115</v>
      </c>
      <c r="B660" s="19">
        <v>1200</v>
      </c>
      <c r="C660" s="19">
        <v>2</v>
      </c>
      <c r="D660" s="19">
        <v>1</v>
      </c>
      <c r="E660" s="23" t="s">
        <v>262</v>
      </c>
      <c r="F660" s="19" t="str">
        <f t="shared" si="2"/>
        <v>Medium</v>
      </c>
      <c r="G660" s="19">
        <v>450000</v>
      </c>
      <c r="H660" s="19" t="str">
        <f>IF(' BENGALURU HOUSE PRICE'!$G660&lt;=500000,"Low",
IF(' BENGALURU HOUSE PRICE'!$G660&lt;=1000000,"Medium",
IF(' BENGALURU HOUSE PRICE'!$G660&lt;=3000000,"High","Luxury")))</f>
        <v>Low</v>
      </c>
    </row>
    <row r="661" spans="1:8" ht="15.75" customHeight="1" x14ac:dyDescent="0.25">
      <c r="A661" s="19" t="s">
        <v>21</v>
      </c>
      <c r="B661" s="19">
        <v>1260</v>
      </c>
      <c r="C661" s="19">
        <v>2</v>
      </c>
      <c r="D661" s="19">
        <v>1</v>
      </c>
      <c r="E661" s="23" t="s">
        <v>262</v>
      </c>
      <c r="F661" s="19" t="str">
        <f t="shared" si="2"/>
        <v>Medium</v>
      </c>
      <c r="G661" s="19">
        <v>673900</v>
      </c>
      <c r="H661" s="19" t="str">
        <f>IF(' BENGALURU HOUSE PRICE'!$G661&lt;=500000,"Low",
IF(' BENGALURU HOUSE PRICE'!$G661&lt;=1000000,"Medium",
IF(' BENGALURU HOUSE PRICE'!$G661&lt;=3000000,"High","Luxury")))</f>
        <v>Medium</v>
      </c>
    </row>
    <row r="662" spans="1:8" ht="15.75" customHeight="1" x14ac:dyDescent="0.25">
      <c r="A662" s="19" t="s">
        <v>169</v>
      </c>
      <c r="B662" s="19">
        <v>1720</v>
      </c>
      <c r="C662" s="19">
        <v>3</v>
      </c>
      <c r="D662" s="19">
        <v>3</v>
      </c>
      <c r="E662" s="23" t="s">
        <v>27</v>
      </c>
      <c r="F662" s="19" t="str">
        <f t="shared" si="2"/>
        <v>Medium</v>
      </c>
      <c r="G662" s="19">
        <v>780000</v>
      </c>
      <c r="H662" s="19" t="str">
        <f>IF(' BENGALURU HOUSE PRICE'!$G662&lt;=500000,"Low",
IF(' BENGALURU HOUSE PRICE'!$G662&lt;=1000000,"Medium",
IF(' BENGALURU HOUSE PRICE'!$G662&lt;=3000000,"High","Luxury")))</f>
        <v>Medium</v>
      </c>
    </row>
    <row r="663" spans="1:8" ht="15.75" customHeight="1" x14ac:dyDescent="0.25">
      <c r="A663" s="19" t="s">
        <v>26</v>
      </c>
      <c r="B663" s="19">
        <v>1559</v>
      </c>
      <c r="C663" s="19">
        <v>2</v>
      </c>
      <c r="D663" s="19">
        <v>0</v>
      </c>
      <c r="E663" s="23" t="s">
        <v>262</v>
      </c>
      <c r="F663" s="19" t="str">
        <f t="shared" si="2"/>
        <v>Medium</v>
      </c>
      <c r="G663" s="19">
        <v>481300</v>
      </c>
      <c r="H663" s="19" t="str">
        <f>IF(' BENGALURU HOUSE PRICE'!$G663&lt;=500000,"Low",
IF(' BENGALURU HOUSE PRICE'!$G663&lt;=1000000,"Medium",
IF(' BENGALURU HOUSE PRICE'!$G663&lt;=3000000,"High","Luxury")))</f>
        <v>Low</v>
      </c>
    </row>
    <row r="664" spans="1:8" ht="15.75" customHeight="1" x14ac:dyDescent="0.25">
      <c r="A664" s="19" t="s">
        <v>26</v>
      </c>
      <c r="B664" s="19">
        <v>1210</v>
      </c>
      <c r="C664" s="19">
        <v>2</v>
      </c>
      <c r="D664" s="19">
        <v>1</v>
      </c>
      <c r="E664" s="23" t="s">
        <v>262</v>
      </c>
      <c r="F664" s="19" t="str">
        <f t="shared" si="2"/>
        <v>Medium</v>
      </c>
      <c r="G664" s="19">
        <v>459800</v>
      </c>
      <c r="H664" s="19" t="str">
        <f>IF(' BENGALURU HOUSE PRICE'!$G664&lt;=500000,"Low",
IF(' BENGALURU HOUSE PRICE'!$G664&lt;=1000000,"Medium",
IF(' BENGALURU HOUSE PRICE'!$G664&lt;=3000000,"High","Luxury")))</f>
        <v>Low</v>
      </c>
    </row>
    <row r="665" spans="1:8" ht="15.75" customHeight="1" x14ac:dyDescent="0.25">
      <c r="A665" s="19" t="s">
        <v>395</v>
      </c>
      <c r="B665" s="19">
        <v>2200</v>
      </c>
      <c r="C665" s="19">
        <v>4</v>
      </c>
      <c r="D665" s="19">
        <v>2</v>
      </c>
      <c r="E665" s="23" t="s">
        <v>264</v>
      </c>
      <c r="F665" s="19" t="str">
        <f t="shared" si="2"/>
        <v>Large</v>
      </c>
      <c r="G665" s="19">
        <v>2000000</v>
      </c>
      <c r="H665" s="19" t="str">
        <f>IF(' BENGALURU HOUSE PRICE'!$G665&lt;=500000,"Low",
IF(' BENGALURU HOUSE PRICE'!$G665&lt;=1000000,"Medium",
IF(' BENGALURU HOUSE PRICE'!$G665&lt;=3000000,"High","Luxury")))</f>
        <v>High</v>
      </c>
    </row>
    <row r="666" spans="1:8" ht="15.75" customHeight="1" x14ac:dyDescent="0.25">
      <c r="A666" s="19" t="s">
        <v>65</v>
      </c>
      <c r="B666" s="19">
        <v>1075</v>
      </c>
      <c r="C666" s="19">
        <v>2</v>
      </c>
      <c r="D666" s="19">
        <v>1</v>
      </c>
      <c r="E666" s="23" t="s">
        <v>27</v>
      </c>
      <c r="F666" s="19" t="str">
        <f t="shared" si="2"/>
        <v>Medium</v>
      </c>
      <c r="G666" s="19">
        <v>450000</v>
      </c>
      <c r="H666" s="19" t="str">
        <f>IF(' BENGALURU HOUSE PRICE'!$G666&lt;=500000,"Low",
IF(' BENGALURU HOUSE PRICE'!$G666&lt;=1000000,"Medium",
IF(' BENGALURU HOUSE PRICE'!$G666&lt;=3000000,"High","Luxury")))</f>
        <v>Low</v>
      </c>
    </row>
    <row r="667" spans="1:8" ht="15.75" customHeight="1" x14ac:dyDescent="0.25">
      <c r="A667" s="19" t="s">
        <v>23</v>
      </c>
      <c r="B667" s="19">
        <v>1702</v>
      </c>
      <c r="C667" s="19">
        <v>3</v>
      </c>
      <c r="D667" s="19">
        <v>2</v>
      </c>
      <c r="E667" s="23" t="s">
        <v>27</v>
      </c>
      <c r="F667" s="19" t="str">
        <f t="shared" si="2"/>
        <v>Medium</v>
      </c>
      <c r="G667" s="19">
        <v>1300000</v>
      </c>
      <c r="H667" s="19" t="str">
        <f>IF(' BENGALURU HOUSE PRICE'!$G667&lt;=500000,"Low",
IF(' BENGALURU HOUSE PRICE'!$G667&lt;=1000000,"Medium",
IF(' BENGALURU HOUSE PRICE'!$G667&lt;=3000000,"High","Luxury")))</f>
        <v>High</v>
      </c>
    </row>
    <row r="668" spans="1:8" ht="15.75" customHeight="1" x14ac:dyDescent="0.25">
      <c r="A668" s="19" t="s">
        <v>396</v>
      </c>
      <c r="B668" s="19">
        <v>1630</v>
      </c>
      <c r="C668" s="19">
        <v>2</v>
      </c>
      <c r="D668" s="19">
        <v>2</v>
      </c>
      <c r="E668" s="23" t="s">
        <v>262</v>
      </c>
      <c r="F668" s="19" t="str">
        <f t="shared" si="2"/>
        <v>Medium</v>
      </c>
      <c r="G668" s="19">
        <v>2000000</v>
      </c>
      <c r="H668" s="19" t="str">
        <f>IF(' BENGALURU HOUSE PRICE'!$G668&lt;=500000,"Low",
IF(' BENGALURU HOUSE PRICE'!$G668&lt;=1000000,"Medium",
IF(' BENGALURU HOUSE PRICE'!$G668&lt;=3000000,"High","Luxury")))</f>
        <v>High</v>
      </c>
    </row>
    <row r="669" spans="1:8" ht="15.75" customHeight="1" x14ac:dyDescent="0.25">
      <c r="A669" s="19" t="s">
        <v>21</v>
      </c>
      <c r="B669" s="19">
        <v>1141</v>
      </c>
      <c r="C669" s="19">
        <v>2</v>
      </c>
      <c r="D669" s="19">
        <v>2</v>
      </c>
      <c r="E669" s="23" t="s">
        <v>262</v>
      </c>
      <c r="F669" s="19" t="str">
        <f t="shared" si="2"/>
        <v>Medium</v>
      </c>
      <c r="G669" s="19">
        <v>385500</v>
      </c>
      <c r="H669" s="19" t="str">
        <f>IF(' BENGALURU HOUSE PRICE'!$G669&lt;=500000,"Low",
IF(' BENGALURU HOUSE PRICE'!$G669&lt;=1000000,"Medium",
IF(' BENGALURU HOUSE PRICE'!$G669&lt;=3000000,"High","Luxury")))</f>
        <v>Low</v>
      </c>
    </row>
    <row r="670" spans="1:8" ht="15.75" customHeight="1" x14ac:dyDescent="0.25">
      <c r="A670" s="19" t="s">
        <v>213</v>
      </c>
      <c r="B670" s="19">
        <v>2072</v>
      </c>
      <c r="C670" s="19">
        <v>3</v>
      </c>
      <c r="D670" s="19">
        <v>2</v>
      </c>
      <c r="E670" s="23" t="s">
        <v>27</v>
      </c>
      <c r="F670" s="19" t="str">
        <f t="shared" si="2"/>
        <v>Large</v>
      </c>
      <c r="G670" s="19">
        <v>1080000</v>
      </c>
      <c r="H670" s="19" t="str">
        <f>IF(' BENGALURU HOUSE PRICE'!$G670&lt;=500000,"Low",
IF(' BENGALURU HOUSE PRICE'!$G670&lt;=1000000,"Medium",
IF(' BENGALURU HOUSE PRICE'!$G670&lt;=3000000,"High","Luxury")))</f>
        <v>High</v>
      </c>
    </row>
    <row r="671" spans="1:8" ht="15.75" customHeight="1" x14ac:dyDescent="0.25">
      <c r="A671" s="19" t="s">
        <v>134</v>
      </c>
      <c r="B671" s="19">
        <v>1559</v>
      </c>
      <c r="C671" s="19">
        <v>2</v>
      </c>
      <c r="D671" s="19">
        <v>2</v>
      </c>
      <c r="E671" s="23" t="s">
        <v>292</v>
      </c>
      <c r="F671" s="19" t="str">
        <f t="shared" si="2"/>
        <v>Medium</v>
      </c>
      <c r="G671" s="19">
        <v>3750000</v>
      </c>
      <c r="H671" s="19" t="str">
        <f>IF(' BENGALURU HOUSE PRICE'!$G671&lt;=500000,"Low",
IF(' BENGALURU HOUSE PRICE'!$G671&lt;=1000000,"Medium",
IF(' BENGALURU HOUSE PRICE'!$G671&lt;=3000000,"High","Luxury")))</f>
        <v>Luxury</v>
      </c>
    </row>
    <row r="672" spans="1:8" ht="15.75" customHeight="1" x14ac:dyDescent="0.25">
      <c r="A672" s="19" t="s">
        <v>112</v>
      </c>
      <c r="B672" s="19">
        <v>1200</v>
      </c>
      <c r="C672" s="19">
        <v>2</v>
      </c>
      <c r="D672" s="19">
        <v>0</v>
      </c>
      <c r="E672" s="23" t="s">
        <v>27</v>
      </c>
      <c r="F672" s="19" t="str">
        <f t="shared" si="2"/>
        <v>Medium</v>
      </c>
      <c r="G672" s="19">
        <v>700000</v>
      </c>
      <c r="H672" s="19" t="str">
        <f>IF(' BENGALURU HOUSE PRICE'!$G672&lt;=500000,"Low",
IF(' BENGALURU HOUSE PRICE'!$G672&lt;=1000000,"Medium",
IF(' BENGALURU HOUSE PRICE'!$G672&lt;=3000000,"High","Luxury")))</f>
        <v>Medium</v>
      </c>
    </row>
    <row r="673" spans="1:8" ht="15.75" customHeight="1" x14ac:dyDescent="0.25">
      <c r="A673" s="19" t="s">
        <v>230</v>
      </c>
      <c r="B673" s="19">
        <v>1350</v>
      </c>
      <c r="C673" s="19">
        <v>3</v>
      </c>
      <c r="D673" s="19">
        <v>0</v>
      </c>
      <c r="E673" s="23" t="s">
        <v>27</v>
      </c>
      <c r="F673" s="19" t="str">
        <f t="shared" si="2"/>
        <v>Medium</v>
      </c>
      <c r="G673" s="19">
        <v>770000</v>
      </c>
      <c r="H673" s="19" t="str">
        <f>IF(' BENGALURU HOUSE PRICE'!$G673&lt;=500000,"Low",
IF(' BENGALURU HOUSE PRICE'!$G673&lt;=1000000,"Medium",
IF(' BENGALURU HOUSE PRICE'!$G673&lt;=3000000,"High","Luxury")))</f>
        <v>Medium</v>
      </c>
    </row>
    <row r="674" spans="1:8" ht="15.75" customHeight="1" x14ac:dyDescent="0.25">
      <c r="A674" s="19" t="s">
        <v>397</v>
      </c>
      <c r="B674" s="19">
        <v>1559</v>
      </c>
      <c r="C674" s="19">
        <v>4</v>
      </c>
      <c r="D674" s="19">
        <v>0</v>
      </c>
      <c r="E674" s="23" t="s">
        <v>264</v>
      </c>
      <c r="F674" s="19" t="str">
        <f t="shared" si="2"/>
        <v>Medium</v>
      </c>
      <c r="G674" s="19">
        <v>4450000</v>
      </c>
      <c r="H674" s="19" t="str">
        <f>IF(' BENGALURU HOUSE PRICE'!$G674&lt;=500000,"Low",
IF(' BENGALURU HOUSE PRICE'!$G674&lt;=1000000,"Medium",
IF(' BENGALURU HOUSE PRICE'!$G674&lt;=3000000,"High","Luxury")))</f>
        <v>Luxury</v>
      </c>
    </row>
    <row r="675" spans="1:8" ht="15.75" customHeight="1" x14ac:dyDescent="0.25">
      <c r="A675" s="19" t="s">
        <v>220</v>
      </c>
      <c r="B675" s="19">
        <v>1180</v>
      </c>
      <c r="C675" s="19">
        <v>2</v>
      </c>
      <c r="D675" s="19">
        <v>2</v>
      </c>
      <c r="E675" s="23" t="s">
        <v>27</v>
      </c>
      <c r="F675" s="19" t="str">
        <f t="shared" si="2"/>
        <v>Medium</v>
      </c>
      <c r="G675" s="19">
        <v>783400</v>
      </c>
      <c r="H675" s="19" t="str">
        <f>IF(' BENGALURU HOUSE PRICE'!$G675&lt;=500000,"Low",
IF(' BENGALURU HOUSE PRICE'!$G675&lt;=1000000,"Medium",
IF(' BENGALURU HOUSE PRICE'!$G675&lt;=3000000,"High","Luxury")))</f>
        <v>Medium</v>
      </c>
    </row>
    <row r="676" spans="1:8" ht="15.75" customHeight="1" x14ac:dyDescent="0.25">
      <c r="A676" s="19" t="s">
        <v>26</v>
      </c>
      <c r="B676" s="19">
        <v>35000</v>
      </c>
      <c r="C676" s="19">
        <v>3</v>
      </c>
      <c r="D676" s="19">
        <v>3</v>
      </c>
      <c r="E676" s="23" t="s">
        <v>27</v>
      </c>
      <c r="F676" s="19" t="str">
        <f t="shared" si="2"/>
        <v>Large</v>
      </c>
      <c r="G676" s="19">
        <v>1300000</v>
      </c>
      <c r="H676" s="19" t="str">
        <f>IF(' BENGALURU HOUSE PRICE'!$G676&lt;=500000,"Low",
IF(' BENGALURU HOUSE PRICE'!$G676&lt;=1000000,"Medium",
IF(' BENGALURU HOUSE PRICE'!$G676&lt;=3000000,"High","Luxury")))</f>
        <v>High</v>
      </c>
    </row>
    <row r="677" spans="1:8" ht="15.75" customHeight="1" x14ac:dyDescent="0.25">
      <c r="A677" s="19" t="s">
        <v>165</v>
      </c>
      <c r="B677" s="19">
        <v>1355</v>
      </c>
      <c r="C677" s="19">
        <v>2</v>
      </c>
      <c r="D677" s="19">
        <v>2</v>
      </c>
      <c r="E677" s="23" t="s">
        <v>262</v>
      </c>
      <c r="F677" s="19" t="str">
        <f t="shared" si="2"/>
        <v>Medium</v>
      </c>
      <c r="G677" s="19">
        <v>1150000</v>
      </c>
      <c r="H677" s="19" t="str">
        <f>IF(' BENGALURU HOUSE PRICE'!$G677&lt;=500000,"Low",
IF(' BENGALURU HOUSE PRICE'!$G677&lt;=1000000,"Medium",
IF(' BENGALURU HOUSE PRICE'!$G677&lt;=3000000,"High","Luxury")))</f>
        <v>High</v>
      </c>
    </row>
    <row r="678" spans="1:8" ht="15.75" customHeight="1" x14ac:dyDescent="0.25">
      <c r="A678" s="19" t="s">
        <v>398</v>
      </c>
      <c r="B678" s="19">
        <v>600</v>
      </c>
      <c r="C678" s="19">
        <v>1</v>
      </c>
      <c r="D678" s="19">
        <v>0</v>
      </c>
      <c r="E678" s="23" t="s">
        <v>267</v>
      </c>
      <c r="F678" s="19" t="str">
        <f t="shared" si="2"/>
        <v>Small</v>
      </c>
      <c r="G678" s="19">
        <v>500000</v>
      </c>
      <c r="H678" s="19" t="str">
        <f>IF(' BENGALURU HOUSE PRICE'!$G678&lt;=500000,"Low",
IF(' BENGALURU HOUSE PRICE'!$G678&lt;=1000000,"Medium",
IF(' BENGALURU HOUSE PRICE'!$G678&lt;=3000000,"High","Luxury")))</f>
        <v>Low</v>
      </c>
    </row>
    <row r="679" spans="1:8" ht="15.75" customHeight="1" x14ac:dyDescent="0.25">
      <c r="A679" s="19" t="s">
        <v>288</v>
      </c>
      <c r="B679" s="19">
        <v>1200</v>
      </c>
      <c r="C679" s="19">
        <v>7</v>
      </c>
      <c r="D679" s="19">
        <v>2</v>
      </c>
      <c r="E679" s="23" t="s">
        <v>290</v>
      </c>
      <c r="F679" s="19" t="str">
        <f t="shared" si="2"/>
        <v>Medium</v>
      </c>
      <c r="G679" s="19">
        <v>1500000</v>
      </c>
      <c r="H679" s="19" t="str">
        <f>IF(' BENGALURU HOUSE PRICE'!$G679&lt;=500000,"Low",
IF(' BENGALURU HOUSE PRICE'!$G679&lt;=1000000,"Medium",
IF(' BENGALURU HOUSE PRICE'!$G679&lt;=3000000,"High","Luxury")))</f>
        <v>High</v>
      </c>
    </row>
    <row r="680" spans="1:8" ht="15.75" customHeight="1" x14ac:dyDescent="0.25">
      <c r="A680" s="19" t="s">
        <v>52</v>
      </c>
      <c r="B680" s="19">
        <v>1640</v>
      </c>
      <c r="C680" s="19">
        <v>2</v>
      </c>
      <c r="D680" s="19">
        <v>1</v>
      </c>
      <c r="E680" s="23" t="s">
        <v>27</v>
      </c>
      <c r="F680" s="19" t="str">
        <f t="shared" si="2"/>
        <v>Medium</v>
      </c>
      <c r="G680" s="19">
        <v>1200000</v>
      </c>
      <c r="H680" s="19" t="str">
        <f>IF(' BENGALURU HOUSE PRICE'!$G680&lt;=500000,"Low",
IF(' BENGALURU HOUSE PRICE'!$G680&lt;=1000000,"Medium",
IF(' BENGALURU HOUSE PRICE'!$G680&lt;=3000000,"High","Luxury")))</f>
        <v>High</v>
      </c>
    </row>
    <row r="681" spans="1:8" ht="15.75" customHeight="1" x14ac:dyDescent="0.25">
      <c r="A681" s="19" t="s">
        <v>399</v>
      </c>
      <c r="B681" s="19">
        <v>1200</v>
      </c>
      <c r="C681" s="19">
        <v>5</v>
      </c>
      <c r="D681" s="19">
        <v>0</v>
      </c>
      <c r="E681" s="23" t="s">
        <v>292</v>
      </c>
      <c r="F681" s="19" t="str">
        <f t="shared" si="2"/>
        <v>Medium</v>
      </c>
      <c r="G681" s="19">
        <v>1000000</v>
      </c>
      <c r="H681" s="19" t="str">
        <f>IF(' BENGALURU HOUSE PRICE'!$G681&lt;=500000,"Low",
IF(' BENGALURU HOUSE PRICE'!$G681&lt;=1000000,"Medium",
IF(' BENGALURU HOUSE PRICE'!$G681&lt;=3000000,"High","Luxury")))</f>
        <v>Medium</v>
      </c>
    </row>
    <row r="682" spans="1:8" ht="15.75" customHeight="1" x14ac:dyDescent="0.25">
      <c r="A682" s="19" t="s">
        <v>153</v>
      </c>
      <c r="B682" s="19">
        <v>1190</v>
      </c>
      <c r="C682" s="19">
        <v>2</v>
      </c>
      <c r="D682" s="19">
        <v>2</v>
      </c>
      <c r="E682" s="23" t="s">
        <v>27</v>
      </c>
      <c r="F682" s="19" t="str">
        <f t="shared" si="2"/>
        <v>Medium</v>
      </c>
      <c r="G682" s="19">
        <v>570000</v>
      </c>
      <c r="H682" s="19" t="str">
        <f>IF(' BENGALURU HOUSE PRICE'!$G682&lt;=500000,"Low",
IF(' BENGALURU HOUSE PRICE'!$G682&lt;=1000000,"Medium",
IF(' BENGALURU HOUSE PRICE'!$G682&lt;=3000000,"High","Luxury")))</f>
        <v>Medium</v>
      </c>
    </row>
    <row r="683" spans="1:8" ht="15.75" customHeight="1" x14ac:dyDescent="0.25">
      <c r="A683" s="19" t="s">
        <v>191</v>
      </c>
      <c r="B683" s="19">
        <v>2400</v>
      </c>
      <c r="C683" s="19">
        <v>4</v>
      </c>
      <c r="D683" s="19">
        <v>2</v>
      </c>
      <c r="E683" s="23" t="s">
        <v>264</v>
      </c>
      <c r="F683" s="19" t="str">
        <f t="shared" si="2"/>
        <v>Large</v>
      </c>
      <c r="G683" s="19">
        <v>3750000</v>
      </c>
      <c r="H683" s="19" t="str">
        <f>IF(' BENGALURU HOUSE PRICE'!$G683&lt;=500000,"Low",
IF(' BENGALURU HOUSE PRICE'!$G683&lt;=1000000,"Medium",
IF(' BENGALURU HOUSE PRICE'!$G683&lt;=3000000,"High","Luxury")))</f>
        <v>Luxury</v>
      </c>
    </row>
    <row r="684" spans="1:8" ht="15.75" customHeight="1" x14ac:dyDescent="0.25">
      <c r="A684" s="19" t="s">
        <v>20</v>
      </c>
      <c r="B684" s="19">
        <v>1019</v>
      </c>
      <c r="C684" s="19">
        <v>2</v>
      </c>
      <c r="D684" s="19">
        <v>2</v>
      </c>
      <c r="E684" s="23" t="s">
        <v>262</v>
      </c>
      <c r="F684" s="19" t="str">
        <f t="shared" si="2"/>
        <v>Medium</v>
      </c>
      <c r="G684" s="19">
        <v>498500</v>
      </c>
      <c r="H684" s="19" t="str">
        <f>IF(' BENGALURU HOUSE PRICE'!$G684&lt;=500000,"Low",
IF(' BENGALURU HOUSE PRICE'!$G684&lt;=1000000,"Medium",
IF(' BENGALURU HOUSE PRICE'!$G684&lt;=3000000,"High","Luxury")))</f>
        <v>Low</v>
      </c>
    </row>
    <row r="685" spans="1:8" ht="15.75" customHeight="1" x14ac:dyDescent="0.25">
      <c r="A685" s="19" t="s">
        <v>37</v>
      </c>
      <c r="B685" s="19">
        <v>1875</v>
      </c>
      <c r="C685" s="19">
        <v>3</v>
      </c>
      <c r="D685" s="19">
        <v>2</v>
      </c>
      <c r="E685" s="23" t="s">
        <v>27</v>
      </c>
      <c r="F685" s="19" t="str">
        <f t="shared" si="2"/>
        <v>Medium</v>
      </c>
      <c r="G685" s="19">
        <v>1650000</v>
      </c>
      <c r="H685" s="19" t="str">
        <f>IF(' BENGALURU HOUSE PRICE'!$G685&lt;=500000,"Low",
IF(' BENGALURU HOUSE PRICE'!$G685&lt;=1000000,"Medium",
IF(' BENGALURU HOUSE PRICE'!$G685&lt;=3000000,"High","Luxury")))</f>
        <v>High</v>
      </c>
    </row>
    <row r="686" spans="1:8" ht="15.75" customHeight="1" x14ac:dyDescent="0.25">
      <c r="A686" s="19" t="s">
        <v>35</v>
      </c>
      <c r="B686" s="19">
        <v>1250</v>
      </c>
      <c r="C686" s="19">
        <v>3</v>
      </c>
      <c r="D686" s="19">
        <v>2</v>
      </c>
      <c r="E686" s="23" t="s">
        <v>27</v>
      </c>
      <c r="F686" s="19" t="str">
        <f t="shared" si="2"/>
        <v>Medium</v>
      </c>
      <c r="G686" s="19">
        <v>400000</v>
      </c>
      <c r="H686" s="19" t="str">
        <f>IF(' BENGALURU HOUSE PRICE'!$G686&lt;=500000,"Low",
IF(' BENGALURU HOUSE PRICE'!$G686&lt;=1000000,"Medium",
IF(' BENGALURU HOUSE PRICE'!$G686&lt;=3000000,"High","Luxury")))</f>
        <v>Low</v>
      </c>
    </row>
    <row r="687" spans="1:8" ht="15.75" customHeight="1" x14ac:dyDescent="0.25">
      <c r="A687" s="19" t="s">
        <v>68</v>
      </c>
      <c r="B687" s="19">
        <v>1200</v>
      </c>
      <c r="C687" s="19">
        <v>3</v>
      </c>
      <c r="D687" s="19">
        <v>2</v>
      </c>
      <c r="E687" s="23" t="s">
        <v>27</v>
      </c>
      <c r="F687" s="19" t="str">
        <f t="shared" si="2"/>
        <v>Medium</v>
      </c>
      <c r="G687" s="19">
        <v>1400000</v>
      </c>
      <c r="H687" s="19" t="str">
        <f>IF(' BENGALURU HOUSE PRICE'!$G687&lt;=500000,"Low",
IF(' BENGALURU HOUSE PRICE'!$G687&lt;=1000000,"Medium",
IF(' BENGALURU HOUSE PRICE'!$G687&lt;=3000000,"High","Luxury")))</f>
        <v>High</v>
      </c>
    </row>
    <row r="688" spans="1:8" ht="15.75" customHeight="1" x14ac:dyDescent="0.25">
      <c r="A688" s="19" t="s">
        <v>25</v>
      </c>
      <c r="B688" s="19">
        <v>1140</v>
      </c>
      <c r="C688" s="19">
        <v>2</v>
      </c>
      <c r="D688" s="19">
        <v>1</v>
      </c>
      <c r="E688" s="23" t="s">
        <v>262</v>
      </c>
      <c r="F688" s="19" t="str">
        <f t="shared" si="2"/>
        <v>Medium</v>
      </c>
      <c r="G688" s="19">
        <v>560000</v>
      </c>
      <c r="H688" s="19" t="str">
        <f>IF(' BENGALURU HOUSE PRICE'!$G688&lt;=500000,"Low",
IF(' BENGALURU HOUSE PRICE'!$G688&lt;=1000000,"Medium",
IF(' BENGALURU HOUSE PRICE'!$G688&lt;=3000000,"High","Luxury")))</f>
        <v>Medium</v>
      </c>
    </row>
    <row r="689" spans="1:8" ht="15.75" customHeight="1" x14ac:dyDescent="0.25">
      <c r="A689" s="19" t="s">
        <v>167</v>
      </c>
      <c r="B689" s="19">
        <v>1683</v>
      </c>
      <c r="C689" s="19">
        <v>3</v>
      </c>
      <c r="D689" s="19">
        <v>1</v>
      </c>
      <c r="E689" s="23" t="s">
        <v>27</v>
      </c>
      <c r="F689" s="19" t="str">
        <f t="shared" si="2"/>
        <v>Medium</v>
      </c>
      <c r="G689" s="19">
        <v>1090000</v>
      </c>
      <c r="H689" s="19" t="str">
        <f>IF(' BENGALURU HOUSE PRICE'!$G689&lt;=500000,"Low",
IF(' BENGALURU HOUSE PRICE'!$G689&lt;=1000000,"Medium",
IF(' BENGALURU HOUSE PRICE'!$G689&lt;=3000000,"High","Luxury")))</f>
        <v>High</v>
      </c>
    </row>
    <row r="690" spans="1:8" ht="15.75" customHeight="1" x14ac:dyDescent="0.25">
      <c r="A690" s="19" t="s">
        <v>137</v>
      </c>
      <c r="B690" s="19">
        <v>1515</v>
      </c>
      <c r="C690" s="19">
        <v>3</v>
      </c>
      <c r="D690" s="19">
        <v>2</v>
      </c>
      <c r="E690" s="23" t="s">
        <v>27</v>
      </c>
      <c r="F690" s="19" t="str">
        <f t="shared" si="2"/>
        <v>Medium</v>
      </c>
      <c r="G690" s="19">
        <v>833000</v>
      </c>
      <c r="H690" s="19" t="str">
        <f>IF(' BENGALURU HOUSE PRICE'!$G690&lt;=500000,"Low",
IF(' BENGALURU HOUSE PRICE'!$G690&lt;=1000000,"Medium",
IF(' BENGALURU HOUSE PRICE'!$G690&lt;=3000000,"High","Luxury")))</f>
        <v>Medium</v>
      </c>
    </row>
    <row r="691" spans="1:8" ht="15.75" customHeight="1" x14ac:dyDescent="0.25">
      <c r="A691" s="19" t="s">
        <v>113</v>
      </c>
      <c r="B691" s="19">
        <v>2118</v>
      </c>
      <c r="C691" s="19">
        <v>4</v>
      </c>
      <c r="D691" s="19">
        <v>2</v>
      </c>
      <c r="E691" s="23" t="s">
        <v>264</v>
      </c>
      <c r="F691" s="19" t="str">
        <f t="shared" si="2"/>
        <v>Large</v>
      </c>
      <c r="G691" s="19">
        <v>1110000</v>
      </c>
      <c r="H691" s="19" t="str">
        <f>IF(' BENGALURU HOUSE PRICE'!$G691&lt;=500000,"Low",
IF(' BENGALURU HOUSE PRICE'!$G691&lt;=1000000,"Medium",
IF(' BENGALURU HOUSE PRICE'!$G691&lt;=3000000,"High","Luxury")))</f>
        <v>High</v>
      </c>
    </row>
    <row r="692" spans="1:8" ht="15.75" customHeight="1" x14ac:dyDescent="0.25">
      <c r="A692" s="19" t="s">
        <v>52</v>
      </c>
      <c r="B692" s="19">
        <v>1380</v>
      </c>
      <c r="C692" s="19">
        <v>3</v>
      </c>
      <c r="D692" s="19">
        <v>0</v>
      </c>
      <c r="E692" s="23" t="s">
        <v>264</v>
      </c>
      <c r="F692" s="19" t="str">
        <f t="shared" si="2"/>
        <v>Medium</v>
      </c>
      <c r="G692" s="19">
        <v>580000</v>
      </c>
      <c r="H692" s="19" t="str">
        <f>IF(' BENGALURU HOUSE PRICE'!$G692&lt;=500000,"Low",
IF(' BENGALURU HOUSE PRICE'!$G692&lt;=1000000,"Medium",
IF(' BENGALURU HOUSE PRICE'!$G692&lt;=3000000,"High","Luxury")))</f>
        <v>Medium</v>
      </c>
    </row>
    <row r="693" spans="1:8" ht="15.75" customHeight="1" x14ac:dyDescent="0.25">
      <c r="A693" s="19" t="s">
        <v>400</v>
      </c>
      <c r="B693" s="19">
        <v>1083</v>
      </c>
      <c r="C693" s="19">
        <v>2</v>
      </c>
      <c r="D693" s="19">
        <v>2</v>
      </c>
      <c r="E693" s="23" t="s">
        <v>262</v>
      </c>
      <c r="F693" s="19" t="str">
        <f t="shared" si="2"/>
        <v>Medium</v>
      </c>
      <c r="G693" s="19">
        <v>617500</v>
      </c>
      <c r="H693" s="19" t="str">
        <f>IF(' BENGALURU HOUSE PRICE'!$G693&lt;=500000,"Low",
IF(' BENGALURU HOUSE PRICE'!$G693&lt;=1000000,"Medium",
IF(' BENGALURU HOUSE PRICE'!$G693&lt;=3000000,"High","Luxury")))</f>
        <v>Medium</v>
      </c>
    </row>
    <row r="694" spans="1:8" ht="15.75" customHeight="1" x14ac:dyDescent="0.25">
      <c r="A694" s="19" t="s">
        <v>401</v>
      </c>
      <c r="B694" s="19">
        <v>600</v>
      </c>
      <c r="C694" s="19">
        <v>2</v>
      </c>
      <c r="D694" s="19">
        <v>1</v>
      </c>
      <c r="E694" s="23" t="s">
        <v>262</v>
      </c>
      <c r="F694" s="19" t="str">
        <f t="shared" si="2"/>
        <v>Small</v>
      </c>
      <c r="G694" s="19">
        <v>550000</v>
      </c>
      <c r="H694" s="19" t="str">
        <f>IF(' BENGALURU HOUSE PRICE'!$G694&lt;=500000,"Low",
IF(' BENGALURU HOUSE PRICE'!$G694&lt;=1000000,"Medium",
IF(' BENGALURU HOUSE PRICE'!$G694&lt;=3000000,"High","Luxury")))</f>
        <v>Medium</v>
      </c>
    </row>
    <row r="695" spans="1:8" ht="15.75" customHeight="1" x14ac:dyDescent="0.25">
      <c r="A695" s="19" t="s">
        <v>44</v>
      </c>
      <c r="B695" s="19">
        <v>2300</v>
      </c>
      <c r="C695" s="19">
        <v>3</v>
      </c>
      <c r="D695" s="19">
        <v>3</v>
      </c>
      <c r="E695" s="23" t="s">
        <v>27</v>
      </c>
      <c r="F695" s="19" t="str">
        <f t="shared" si="2"/>
        <v>Large</v>
      </c>
      <c r="G695" s="19">
        <v>1200000</v>
      </c>
      <c r="H695" s="19" t="str">
        <f>IF(' BENGALURU HOUSE PRICE'!$G695&lt;=500000,"Low",
IF(' BENGALURU HOUSE PRICE'!$G695&lt;=1000000,"Medium",
IF(' BENGALURU HOUSE PRICE'!$G695&lt;=3000000,"High","Luxury")))</f>
        <v>High</v>
      </c>
    </row>
    <row r="696" spans="1:8" ht="15.75" customHeight="1" x14ac:dyDescent="0.25">
      <c r="A696" s="19" t="s">
        <v>402</v>
      </c>
      <c r="B696" s="19">
        <v>1240</v>
      </c>
      <c r="C696" s="19">
        <v>2</v>
      </c>
      <c r="D696" s="19">
        <v>2</v>
      </c>
      <c r="E696" s="23" t="s">
        <v>262</v>
      </c>
      <c r="F696" s="19" t="str">
        <f t="shared" si="2"/>
        <v>Medium</v>
      </c>
      <c r="G696" s="19">
        <v>600000</v>
      </c>
      <c r="H696" s="19" t="str">
        <f>IF(' BENGALURU HOUSE PRICE'!$G696&lt;=500000,"Low",
IF(' BENGALURU HOUSE PRICE'!$G696&lt;=1000000,"Medium",
IF(' BENGALURU HOUSE PRICE'!$G696&lt;=3000000,"High","Luxury")))</f>
        <v>Medium</v>
      </c>
    </row>
    <row r="697" spans="1:8" ht="15.75" customHeight="1" x14ac:dyDescent="0.25">
      <c r="A697" s="19" t="s">
        <v>223</v>
      </c>
      <c r="B697" s="19">
        <v>1750</v>
      </c>
      <c r="C697" s="19">
        <v>3</v>
      </c>
      <c r="D697" s="19">
        <v>1</v>
      </c>
      <c r="E697" s="23" t="s">
        <v>27</v>
      </c>
      <c r="F697" s="19" t="str">
        <f t="shared" si="2"/>
        <v>Medium</v>
      </c>
      <c r="G697" s="19">
        <v>1200000</v>
      </c>
      <c r="H697" s="19" t="str">
        <f>IF(' BENGALURU HOUSE PRICE'!$G697&lt;=500000,"Low",
IF(' BENGALURU HOUSE PRICE'!$G697&lt;=1000000,"Medium",
IF(' BENGALURU HOUSE PRICE'!$G697&lt;=3000000,"High","Luxury")))</f>
        <v>High</v>
      </c>
    </row>
    <row r="698" spans="1:8" ht="15.75" customHeight="1" x14ac:dyDescent="0.25">
      <c r="A698" s="19" t="s">
        <v>403</v>
      </c>
      <c r="B698" s="19">
        <v>1230</v>
      </c>
      <c r="C698" s="19">
        <v>2</v>
      </c>
      <c r="D698" s="19">
        <v>2</v>
      </c>
      <c r="E698" s="23" t="s">
        <v>262</v>
      </c>
      <c r="F698" s="19" t="str">
        <f t="shared" si="2"/>
        <v>Medium</v>
      </c>
      <c r="G698" s="19">
        <v>434800</v>
      </c>
      <c r="H698" s="19" t="str">
        <f>IF(' BENGALURU HOUSE PRICE'!$G698&lt;=500000,"Low",
IF(' BENGALURU HOUSE PRICE'!$G698&lt;=1000000,"Medium",
IF(' BENGALURU HOUSE PRICE'!$G698&lt;=3000000,"High","Luxury")))</f>
        <v>Low</v>
      </c>
    </row>
    <row r="699" spans="1:8" ht="15.75" customHeight="1" x14ac:dyDescent="0.25">
      <c r="A699" s="19" t="s">
        <v>40</v>
      </c>
      <c r="B699" s="19">
        <v>1500</v>
      </c>
      <c r="C699" s="19">
        <v>3</v>
      </c>
      <c r="D699" s="19">
        <v>1</v>
      </c>
      <c r="E699" s="23" t="s">
        <v>27</v>
      </c>
      <c r="F699" s="19" t="str">
        <f t="shared" si="2"/>
        <v>Medium</v>
      </c>
      <c r="G699" s="19">
        <v>1390000</v>
      </c>
      <c r="H699" s="19" t="str">
        <f>IF(' BENGALURU HOUSE PRICE'!$G699&lt;=500000,"Low",
IF(' BENGALURU HOUSE PRICE'!$G699&lt;=1000000,"Medium",
IF(' BENGALURU HOUSE PRICE'!$G699&lt;=3000000,"High","Luxury")))</f>
        <v>High</v>
      </c>
    </row>
    <row r="700" spans="1:8" ht="15.75" customHeight="1" x14ac:dyDescent="0.25">
      <c r="A700" s="19" t="s">
        <v>404</v>
      </c>
      <c r="B700" s="19">
        <v>985</v>
      </c>
      <c r="C700" s="19">
        <v>2</v>
      </c>
      <c r="D700" s="19">
        <v>1</v>
      </c>
      <c r="E700" s="23" t="s">
        <v>262</v>
      </c>
      <c r="F700" s="19" t="str">
        <f t="shared" si="2"/>
        <v>Small</v>
      </c>
      <c r="G700" s="19">
        <v>403900</v>
      </c>
      <c r="H700" s="19" t="str">
        <f>IF(' BENGALURU HOUSE PRICE'!$G700&lt;=500000,"Low",
IF(' BENGALURU HOUSE PRICE'!$G700&lt;=1000000,"Medium",
IF(' BENGALURU HOUSE PRICE'!$G700&lt;=3000000,"High","Luxury")))</f>
        <v>Low</v>
      </c>
    </row>
    <row r="701" spans="1:8" ht="15.75" customHeight="1" x14ac:dyDescent="0.25">
      <c r="A701" s="19" t="s">
        <v>234</v>
      </c>
      <c r="B701" s="19">
        <v>1500</v>
      </c>
      <c r="C701" s="19">
        <v>2</v>
      </c>
      <c r="D701" s="19">
        <v>1</v>
      </c>
      <c r="E701" s="23" t="s">
        <v>27</v>
      </c>
      <c r="F701" s="19" t="str">
        <f t="shared" si="2"/>
        <v>Medium</v>
      </c>
      <c r="G701" s="19">
        <v>870000</v>
      </c>
      <c r="H701" s="19" t="str">
        <f>IF(' BENGALURU HOUSE PRICE'!$G701&lt;=500000,"Low",
IF(' BENGALURU HOUSE PRICE'!$G701&lt;=1000000,"Medium",
IF(' BENGALURU HOUSE PRICE'!$G701&lt;=3000000,"High","Luxury")))</f>
        <v>Medium</v>
      </c>
    </row>
    <row r="702" spans="1:8" ht="15.75" customHeight="1" x14ac:dyDescent="0.25">
      <c r="A702" s="19" t="s">
        <v>16</v>
      </c>
      <c r="B702" s="19">
        <v>1125</v>
      </c>
      <c r="C702" s="19">
        <v>2</v>
      </c>
      <c r="D702" s="19">
        <v>1</v>
      </c>
      <c r="E702" s="23" t="s">
        <v>262</v>
      </c>
      <c r="F702" s="19" t="str">
        <f t="shared" si="2"/>
        <v>Medium</v>
      </c>
      <c r="G702" s="19">
        <v>324900</v>
      </c>
      <c r="H702" s="19" t="str">
        <f>IF(' BENGALURU HOUSE PRICE'!$G702&lt;=500000,"Low",
IF(' BENGALURU HOUSE PRICE'!$G702&lt;=1000000,"Medium",
IF(' BENGALURU HOUSE PRICE'!$G702&lt;=3000000,"High","Luxury")))</f>
        <v>Low</v>
      </c>
    </row>
    <row r="703" spans="1:8" ht="15.75" customHeight="1" x14ac:dyDescent="0.25">
      <c r="A703" s="19" t="s">
        <v>322</v>
      </c>
      <c r="B703" s="19">
        <v>950</v>
      </c>
      <c r="C703" s="19">
        <v>2</v>
      </c>
      <c r="D703" s="19">
        <v>1</v>
      </c>
      <c r="E703" s="23" t="s">
        <v>262</v>
      </c>
      <c r="F703" s="19" t="str">
        <f t="shared" si="2"/>
        <v>Small</v>
      </c>
      <c r="G703" s="19">
        <v>440000</v>
      </c>
      <c r="H703" s="19" t="str">
        <f>IF(' BENGALURU HOUSE PRICE'!$G703&lt;=500000,"Low",
IF(' BENGALURU HOUSE PRICE'!$G703&lt;=1000000,"Medium",
IF(' BENGALURU HOUSE PRICE'!$G703&lt;=3000000,"High","Luxury")))</f>
        <v>Low</v>
      </c>
    </row>
    <row r="704" spans="1:8" ht="15.75" customHeight="1" x14ac:dyDescent="0.25">
      <c r="A704" s="19" t="s">
        <v>134</v>
      </c>
      <c r="B704" s="19">
        <v>1559</v>
      </c>
      <c r="C704" s="19">
        <v>2</v>
      </c>
      <c r="D704" s="19">
        <v>2</v>
      </c>
      <c r="E704" s="23" t="s">
        <v>292</v>
      </c>
      <c r="F704" s="19" t="str">
        <f t="shared" si="2"/>
        <v>Medium</v>
      </c>
      <c r="G704" s="19">
        <v>5485000</v>
      </c>
      <c r="H704" s="19" t="str">
        <f>IF(' BENGALURU HOUSE PRICE'!$G704&lt;=500000,"Low",
IF(' BENGALURU HOUSE PRICE'!$G704&lt;=1000000,"Medium",
IF(' BENGALURU HOUSE PRICE'!$G704&lt;=3000000,"High","Luxury")))</f>
        <v>Luxury</v>
      </c>
    </row>
    <row r="705" spans="1:8" ht="15.75" customHeight="1" x14ac:dyDescent="0.25">
      <c r="A705" s="19" t="s">
        <v>159</v>
      </c>
      <c r="B705" s="19">
        <v>1580</v>
      </c>
      <c r="C705" s="19">
        <v>3</v>
      </c>
      <c r="D705" s="19">
        <v>3</v>
      </c>
      <c r="E705" s="23" t="s">
        <v>27</v>
      </c>
      <c r="F705" s="19" t="str">
        <f t="shared" si="2"/>
        <v>Medium</v>
      </c>
      <c r="G705" s="19">
        <v>760000</v>
      </c>
      <c r="H705" s="19" t="str">
        <f>IF(' BENGALURU HOUSE PRICE'!$G705&lt;=500000,"Low",
IF(' BENGALURU HOUSE PRICE'!$G705&lt;=1000000,"Medium",
IF(' BENGALURU HOUSE PRICE'!$G705&lt;=3000000,"High","Luxury")))</f>
        <v>Medium</v>
      </c>
    </row>
    <row r="706" spans="1:8" ht="15.75" customHeight="1" x14ac:dyDescent="0.25">
      <c r="A706" s="19" t="s">
        <v>45</v>
      </c>
      <c r="B706" s="19">
        <v>1092</v>
      </c>
      <c r="C706" s="19">
        <v>2</v>
      </c>
      <c r="D706" s="19">
        <v>1</v>
      </c>
      <c r="E706" s="23" t="s">
        <v>27</v>
      </c>
      <c r="F706" s="19" t="str">
        <f t="shared" si="2"/>
        <v>Medium</v>
      </c>
      <c r="G706" s="19">
        <v>985000</v>
      </c>
      <c r="H706" s="19" t="str">
        <f>IF(' BENGALURU HOUSE PRICE'!$G706&lt;=500000,"Low",
IF(' BENGALURU HOUSE PRICE'!$G706&lt;=1000000,"Medium",
IF(' BENGALURU HOUSE PRICE'!$G706&lt;=3000000,"High","Luxury")))</f>
        <v>Medium</v>
      </c>
    </row>
    <row r="707" spans="1:8" ht="15.75" customHeight="1" x14ac:dyDescent="0.25">
      <c r="A707" s="19" t="s">
        <v>96</v>
      </c>
      <c r="B707" s="19">
        <v>1090</v>
      </c>
      <c r="C707" s="19">
        <v>2</v>
      </c>
      <c r="D707" s="19">
        <v>1</v>
      </c>
      <c r="E707" s="23" t="s">
        <v>262</v>
      </c>
      <c r="F707" s="19" t="str">
        <f t="shared" si="2"/>
        <v>Medium</v>
      </c>
      <c r="G707" s="19">
        <v>283400</v>
      </c>
      <c r="H707" s="19" t="str">
        <f>IF(' BENGALURU HOUSE PRICE'!$G707&lt;=500000,"Low",
IF(' BENGALURU HOUSE PRICE'!$G707&lt;=1000000,"Medium",
IF(' BENGALURU HOUSE PRICE'!$G707&lt;=3000000,"High","Luxury")))</f>
        <v>Low</v>
      </c>
    </row>
    <row r="708" spans="1:8" ht="15.75" customHeight="1" x14ac:dyDescent="0.25">
      <c r="A708" s="19" t="s">
        <v>111</v>
      </c>
      <c r="B708" s="19">
        <v>2264</v>
      </c>
      <c r="C708" s="19">
        <v>3</v>
      </c>
      <c r="D708" s="19">
        <v>1</v>
      </c>
      <c r="E708" s="23" t="s">
        <v>27</v>
      </c>
      <c r="F708" s="19" t="str">
        <f t="shared" si="2"/>
        <v>Large</v>
      </c>
      <c r="G708" s="19">
        <v>1590000</v>
      </c>
      <c r="H708" s="19" t="str">
        <f>IF(' BENGALURU HOUSE PRICE'!$G708&lt;=500000,"Low",
IF(' BENGALURU HOUSE PRICE'!$G708&lt;=1000000,"Medium",
IF(' BENGALURU HOUSE PRICE'!$G708&lt;=3000000,"High","Luxury")))</f>
        <v>High</v>
      </c>
    </row>
    <row r="709" spans="1:8" ht="15.75" customHeight="1" x14ac:dyDescent="0.25">
      <c r="A709" s="19" t="s">
        <v>92</v>
      </c>
      <c r="B709" s="19">
        <v>1033</v>
      </c>
      <c r="C709" s="19">
        <v>2</v>
      </c>
      <c r="D709" s="19">
        <v>2</v>
      </c>
      <c r="E709" s="23" t="s">
        <v>27</v>
      </c>
      <c r="F709" s="19" t="str">
        <f t="shared" si="2"/>
        <v>Medium</v>
      </c>
      <c r="G709" s="19">
        <v>255300</v>
      </c>
      <c r="H709" s="19" t="str">
        <f>IF(' BENGALURU HOUSE PRICE'!$G709&lt;=500000,"Low",
IF(' BENGALURU HOUSE PRICE'!$G709&lt;=1000000,"Medium",
IF(' BENGALURU HOUSE PRICE'!$G709&lt;=3000000,"High","Luxury")))</f>
        <v>Low</v>
      </c>
    </row>
    <row r="710" spans="1:8" ht="15.75" customHeight="1" x14ac:dyDescent="0.25">
      <c r="A710" s="19" t="s">
        <v>142</v>
      </c>
      <c r="B710" s="19">
        <v>810</v>
      </c>
      <c r="C710" s="19">
        <v>2</v>
      </c>
      <c r="D710" s="19">
        <v>2</v>
      </c>
      <c r="E710" s="23" t="s">
        <v>262</v>
      </c>
      <c r="F710" s="19" t="str">
        <f t="shared" si="2"/>
        <v>Small</v>
      </c>
      <c r="G710" s="19">
        <v>245000</v>
      </c>
      <c r="H710" s="19" t="str">
        <f>IF(' BENGALURU HOUSE PRICE'!$G710&lt;=500000,"Low",
IF(' BENGALURU HOUSE PRICE'!$G710&lt;=1000000,"Medium",
IF(' BENGALURU HOUSE PRICE'!$G710&lt;=3000000,"High","Luxury")))</f>
        <v>Low</v>
      </c>
    </row>
    <row r="711" spans="1:8" ht="15.75" customHeight="1" x14ac:dyDescent="0.25">
      <c r="A711" s="19" t="s">
        <v>405</v>
      </c>
      <c r="B711" s="19">
        <v>1045</v>
      </c>
      <c r="C711" s="19">
        <v>2</v>
      </c>
      <c r="D711" s="19">
        <v>0</v>
      </c>
      <c r="E711" s="23" t="s">
        <v>262</v>
      </c>
      <c r="F711" s="19" t="str">
        <f t="shared" si="2"/>
        <v>Medium</v>
      </c>
      <c r="G711" s="19">
        <v>450000</v>
      </c>
      <c r="H711" s="19" t="str">
        <f>IF(' BENGALURU HOUSE PRICE'!$G711&lt;=500000,"Low",
IF(' BENGALURU HOUSE PRICE'!$G711&lt;=1000000,"Medium",
IF(' BENGALURU HOUSE PRICE'!$G711&lt;=3000000,"High","Luxury")))</f>
        <v>Low</v>
      </c>
    </row>
    <row r="712" spans="1:8" ht="15.75" customHeight="1" x14ac:dyDescent="0.25">
      <c r="A712" s="19" t="s">
        <v>18</v>
      </c>
      <c r="B712" s="19">
        <v>1337</v>
      </c>
      <c r="C712" s="19">
        <v>2</v>
      </c>
      <c r="D712" s="19">
        <v>1</v>
      </c>
      <c r="E712" s="23" t="s">
        <v>262</v>
      </c>
      <c r="F712" s="19" t="str">
        <f t="shared" si="2"/>
        <v>Medium</v>
      </c>
      <c r="G712" s="19">
        <v>820000</v>
      </c>
      <c r="H712" s="19" t="str">
        <f>IF(' BENGALURU HOUSE PRICE'!$G712&lt;=500000,"Low",
IF(' BENGALURU HOUSE PRICE'!$G712&lt;=1000000,"Medium",
IF(' BENGALURU HOUSE PRICE'!$G712&lt;=3000000,"High","Luxury")))</f>
        <v>Medium</v>
      </c>
    </row>
    <row r="713" spans="1:8" ht="15.75" customHeight="1" x14ac:dyDescent="0.25">
      <c r="A713" s="19" t="s">
        <v>74</v>
      </c>
      <c r="B713" s="19">
        <v>1200</v>
      </c>
      <c r="C713" s="19">
        <v>2</v>
      </c>
      <c r="D713" s="19">
        <v>2</v>
      </c>
      <c r="E713" s="23" t="s">
        <v>262</v>
      </c>
      <c r="F713" s="19" t="str">
        <f t="shared" si="2"/>
        <v>Medium</v>
      </c>
      <c r="G713" s="19">
        <v>320000</v>
      </c>
      <c r="H713" s="19" t="str">
        <f>IF(' BENGALURU HOUSE PRICE'!$G713&lt;=500000,"Low",
IF(' BENGALURU HOUSE PRICE'!$G713&lt;=1000000,"Medium",
IF(' BENGALURU HOUSE PRICE'!$G713&lt;=3000000,"High","Luxury")))</f>
        <v>Low</v>
      </c>
    </row>
    <row r="714" spans="1:8" ht="15.75" customHeight="1" x14ac:dyDescent="0.25">
      <c r="A714" s="19" t="s">
        <v>157</v>
      </c>
      <c r="B714" s="19">
        <v>1580</v>
      </c>
      <c r="C714" s="19">
        <v>3</v>
      </c>
      <c r="D714" s="19">
        <v>2</v>
      </c>
      <c r="E714" s="23" t="s">
        <v>27</v>
      </c>
      <c r="F714" s="19" t="str">
        <f t="shared" si="2"/>
        <v>Medium</v>
      </c>
      <c r="G714" s="19">
        <v>1600000</v>
      </c>
      <c r="H714" s="19" t="str">
        <f>IF(' BENGALURU HOUSE PRICE'!$G714&lt;=500000,"Low",
IF(' BENGALURU HOUSE PRICE'!$G714&lt;=1000000,"Medium",
IF(' BENGALURU HOUSE PRICE'!$G714&lt;=3000000,"High","Luxury")))</f>
        <v>High</v>
      </c>
    </row>
    <row r="715" spans="1:8" ht="15.75" customHeight="1" x14ac:dyDescent="0.25">
      <c r="A715" s="19" t="s">
        <v>58</v>
      </c>
      <c r="B715" s="19">
        <v>1500</v>
      </c>
      <c r="C715" s="19">
        <v>2</v>
      </c>
      <c r="D715" s="19">
        <v>3</v>
      </c>
      <c r="E715" s="23" t="s">
        <v>27</v>
      </c>
      <c r="F715" s="19" t="str">
        <f t="shared" si="2"/>
        <v>Medium</v>
      </c>
      <c r="G715" s="19">
        <v>540000</v>
      </c>
      <c r="H715" s="19" t="str">
        <f>IF(' BENGALURU HOUSE PRICE'!$G715&lt;=500000,"Low",
IF(' BENGALURU HOUSE PRICE'!$G715&lt;=1000000,"Medium",
IF(' BENGALURU HOUSE PRICE'!$G715&lt;=3000000,"High","Luxury")))</f>
        <v>Medium</v>
      </c>
    </row>
    <row r="716" spans="1:8" ht="15.75" customHeight="1" x14ac:dyDescent="0.25">
      <c r="A716" s="19" t="s">
        <v>25</v>
      </c>
      <c r="B716" s="19">
        <v>1640</v>
      </c>
      <c r="C716" s="19">
        <v>4</v>
      </c>
      <c r="D716" s="19">
        <v>2</v>
      </c>
      <c r="E716" s="23" t="s">
        <v>27</v>
      </c>
      <c r="F716" s="19" t="str">
        <f t="shared" si="2"/>
        <v>Medium</v>
      </c>
      <c r="G716" s="19">
        <v>910000</v>
      </c>
      <c r="H716" s="19" t="str">
        <f>IF(' BENGALURU HOUSE PRICE'!$G716&lt;=500000,"Low",
IF(' BENGALURU HOUSE PRICE'!$G716&lt;=1000000,"Medium",
IF(' BENGALURU HOUSE PRICE'!$G716&lt;=3000000,"High","Luxury")))</f>
        <v>Medium</v>
      </c>
    </row>
    <row r="717" spans="1:8" ht="15.75" customHeight="1" x14ac:dyDescent="0.25">
      <c r="A717" s="19" t="s">
        <v>215</v>
      </c>
      <c r="B717" s="19">
        <v>1570</v>
      </c>
      <c r="C717" s="19">
        <v>3</v>
      </c>
      <c r="D717" s="19">
        <v>2</v>
      </c>
      <c r="E717" s="23" t="s">
        <v>27</v>
      </c>
      <c r="F717" s="19" t="str">
        <f t="shared" si="2"/>
        <v>Medium</v>
      </c>
      <c r="G717" s="19">
        <v>620000</v>
      </c>
      <c r="H717" s="19" t="str">
        <f>IF(' BENGALURU HOUSE PRICE'!$G717&lt;=500000,"Low",
IF(' BENGALURU HOUSE PRICE'!$G717&lt;=1000000,"Medium",
IF(' BENGALURU HOUSE PRICE'!$G717&lt;=3000000,"High","Luxury")))</f>
        <v>Medium</v>
      </c>
    </row>
    <row r="718" spans="1:8" ht="15.75" customHeight="1" x14ac:dyDescent="0.25">
      <c r="A718" s="19" t="s">
        <v>106</v>
      </c>
      <c r="B718" s="19">
        <v>1470</v>
      </c>
      <c r="C718" s="19">
        <v>2</v>
      </c>
      <c r="D718" s="19">
        <v>2</v>
      </c>
      <c r="E718" s="23" t="s">
        <v>27</v>
      </c>
      <c r="F718" s="19" t="str">
        <f t="shared" si="2"/>
        <v>Medium</v>
      </c>
      <c r="G718" s="19">
        <v>820000</v>
      </c>
      <c r="H718" s="19" t="str">
        <f>IF(' BENGALURU HOUSE PRICE'!$G718&lt;=500000,"Low",
IF(' BENGALURU HOUSE PRICE'!$G718&lt;=1000000,"Medium",
IF(' BENGALURU HOUSE PRICE'!$G718&lt;=3000000,"High","Luxury")))</f>
        <v>Medium</v>
      </c>
    </row>
    <row r="719" spans="1:8" ht="15.75" customHeight="1" x14ac:dyDescent="0.25">
      <c r="A719" s="19" t="s">
        <v>148</v>
      </c>
      <c r="B719" s="19">
        <v>1160</v>
      </c>
      <c r="C719" s="19">
        <v>2</v>
      </c>
      <c r="D719" s="19">
        <v>2</v>
      </c>
      <c r="E719" s="23" t="s">
        <v>262</v>
      </c>
      <c r="F719" s="19" t="str">
        <f t="shared" si="2"/>
        <v>Medium</v>
      </c>
      <c r="G719" s="19">
        <v>406100</v>
      </c>
      <c r="H719" s="19" t="str">
        <f>IF(' BENGALURU HOUSE PRICE'!$G719&lt;=500000,"Low",
IF(' BENGALURU HOUSE PRICE'!$G719&lt;=1000000,"Medium",
IF(' BENGALURU HOUSE PRICE'!$G719&lt;=3000000,"High","Luxury")))</f>
        <v>Low</v>
      </c>
    </row>
    <row r="720" spans="1:8" ht="15.75" customHeight="1" x14ac:dyDescent="0.25">
      <c r="A720" s="19" t="s">
        <v>15</v>
      </c>
      <c r="B720" s="19">
        <v>1050</v>
      </c>
      <c r="C720" s="19">
        <v>2</v>
      </c>
      <c r="D720" s="19">
        <v>1</v>
      </c>
      <c r="E720" s="23" t="s">
        <v>262</v>
      </c>
      <c r="F720" s="19" t="str">
        <f t="shared" si="2"/>
        <v>Medium</v>
      </c>
      <c r="G720" s="19">
        <v>710000</v>
      </c>
      <c r="H720" s="19" t="str">
        <f>IF(' BENGALURU HOUSE PRICE'!$G720&lt;=500000,"Low",
IF(' BENGALURU HOUSE PRICE'!$G720&lt;=1000000,"Medium",
IF(' BENGALURU HOUSE PRICE'!$G720&lt;=3000000,"High","Luxury")))</f>
        <v>Medium</v>
      </c>
    </row>
    <row r="721" spans="1:8" ht="15.75" customHeight="1" x14ac:dyDescent="0.25">
      <c r="A721" s="19" t="s">
        <v>84</v>
      </c>
      <c r="B721" s="19">
        <v>1855</v>
      </c>
      <c r="C721" s="19">
        <v>3</v>
      </c>
      <c r="D721" s="19">
        <v>1</v>
      </c>
      <c r="E721" s="23" t="s">
        <v>27</v>
      </c>
      <c r="F721" s="19" t="str">
        <f t="shared" si="2"/>
        <v>Medium</v>
      </c>
      <c r="G721" s="19">
        <v>2250000</v>
      </c>
      <c r="H721" s="19" t="str">
        <f>IF(' BENGALURU HOUSE PRICE'!$G721&lt;=500000,"Low",
IF(' BENGALURU HOUSE PRICE'!$G721&lt;=1000000,"Medium",
IF(' BENGALURU HOUSE PRICE'!$G721&lt;=3000000,"High","Luxury")))</f>
        <v>High</v>
      </c>
    </row>
    <row r="722" spans="1:8" ht="15.75" customHeight="1" x14ac:dyDescent="0.25">
      <c r="A722" s="19" t="s">
        <v>52</v>
      </c>
      <c r="B722" s="19">
        <v>1460</v>
      </c>
      <c r="C722" s="19">
        <v>2</v>
      </c>
      <c r="D722" s="19">
        <v>1</v>
      </c>
      <c r="E722" s="23" t="s">
        <v>27</v>
      </c>
      <c r="F722" s="19" t="str">
        <f t="shared" si="2"/>
        <v>Medium</v>
      </c>
      <c r="G722" s="19">
        <v>900000</v>
      </c>
      <c r="H722" s="19" t="str">
        <f>IF(' BENGALURU HOUSE PRICE'!$G722&lt;=500000,"Low",
IF(' BENGALURU HOUSE PRICE'!$G722&lt;=1000000,"Medium",
IF(' BENGALURU HOUSE PRICE'!$G722&lt;=3000000,"High","Luxury")))</f>
        <v>Medium</v>
      </c>
    </row>
    <row r="723" spans="1:8" ht="15.75" customHeight="1" x14ac:dyDescent="0.25">
      <c r="A723" s="19" t="s">
        <v>123</v>
      </c>
      <c r="B723" s="19">
        <v>1823</v>
      </c>
      <c r="C723" s="19">
        <v>3</v>
      </c>
      <c r="D723" s="19">
        <v>2</v>
      </c>
      <c r="E723" s="23" t="s">
        <v>27</v>
      </c>
      <c r="F723" s="19" t="str">
        <f t="shared" si="2"/>
        <v>Medium</v>
      </c>
      <c r="G723" s="19">
        <v>1000000</v>
      </c>
      <c r="H723" s="19" t="str">
        <f>IF(' BENGALURU HOUSE PRICE'!$G723&lt;=500000,"Low",
IF(' BENGALURU HOUSE PRICE'!$G723&lt;=1000000,"Medium",
IF(' BENGALURU HOUSE PRICE'!$G723&lt;=3000000,"High","Luxury")))</f>
        <v>Medium</v>
      </c>
    </row>
    <row r="724" spans="1:8" ht="15.75" customHeight="1" x14ac:dyDescent="0.25">
      <c r="A724" s="19" t="s">
        <v>16</v>
      </c>
      <c r="B724" s="19">
        <v>1094</v>
      </c>
      <c r="C724" s="19">
        <v>2</v>
      </c>
      <c r="D724" s="19">
        <v>2</v>
      </c>
      <c r="E724" s="23" t="s">
        <v>262</v>
      </c>
      <c r="F724" s="19" t="str">
        <f t="shared" si="2"/>
        <v>Medium</v>
      </c>
      <c r="G724" s="19">
        <v>420000</v>
      </c>
      <c r="H724" s="19" t="str">
        <f>IF(' BENGALURU HOUSE PRICE'!$G724&lt;=500000,"Low",
IF(' BENGALURU HOUSE PRICE'!$G724&lt;=1000000,"Medium",
IF(' BENGALURU HOUSE PRICE'!$G724&lt;=3000000,"High","Luxury")))</f>
        <v>Low</v>
      </c>
    </row>
    <row r="725" spans="1:8" ht="15.75" customHeight="1" x14ac:dyDescent="0.25">
      <c r="A725" s="19" t="s">
        <v>69</v>
      </c>
      <c r="B725" s="19">
        <v>1153</v>
      </c>
      <c r="C725" s="19">
        <v>2</v>
      </c>
      <c r="D725" s="19">
        <v>2</v>
      </c>
      <c r="E725" s="23" t="s">
        <v>262</v>
      </c>
      <c r="F725" s="19" t="str">
        <f t="shared" si="2"/>
        <v>Medium</v>
      </c>
      <c r="G725" s="19">
        <v>570000</v>
      </c>
      <c r="H725" s="19" t="str">
        <f>IF(' BENGALURU HOUSE PRICE'!$G725&lt;=500000,"Low",
IF(' BENGALURU HOUSE PRICE'!$G725&lt;=1000000,"Medium",
IF(' BENGALURU HOUSE PRICE'!$G725&lt;=3000000,"High","Luxury")))</f>
        <v>Medium</v>
      </c>
    </row>
    <row r="726" spans="1:8" ht="15.75" customHeight="1" x14ac:dyDescent="0.25">
      <c r="A726" s="19" t="s">
        <v>121</v>
      </c>
      <c r="B726" s="19">
        <v>1325</v>
      </c>
      <c r="C726" s="19">
        <v>3</v>
      </c>
      <c r="D726" s="19">
        <v>1</v>
      </c>
      <c r="E726" s="23" t="s">
        <v>27</v>
      </c>
      <c r="F726" s="19" t="str">
        <f t="shared" si="2"/>
        <v>Medium</v>
      </c>
      <c r="G726" s="19">
        <v>570000</v>
      </c>
      <c r="H726" s="19" t="str">
        <f>IF(' BENGALURU HOUSE PRICE'!$G726&lt;=500000,"Low",
IF(' BENGALURU HOUSE PRICE'!$G726&lt;=1000000,"Medium",
IF(' BENGALURU HOUSE PRICE'!$G726&lt;=3000000,"High","Luxury")))</f>
        <v>Medium</v>
      </c>
    </row>
    <row r="727" spans="1:8" ht="15.75" customHeight="1" x14ac:dyDescent="0.25">
      <c r="A727" s="19" t="s">
        <v>406</v>
      </c>
      <c r="B727" s="19">
        <v>1200</v>
      </c>
      <c r="C727" s="19">
        <v>3</v>
      </c>
      <c r="D727" s="19">
        <v>2</v>
      </c>
      <c r="E727" s="23" t="s">
        <v>264</v>
      </c>
      <c r="F727" s="19" t="str">
        <f t="shared" si="2"/>
        <v>Medium</v>
      </c>
      <c r="G727" s="19">
        <v>850000</v>
      </c>
      <c r="H727" s="19" t="str">
        <f>IF(' BENGALURU HOUSE PRICE'!$G727&lt;=500000,"Low",
IF(' BENGALURU HOUSE PRICE'!$G727&lt;=1000000,"Medium",
IF(' BENGALURU HOUSE PRICE'!$G727&lt;=3000000,"High","Luxury")))</f>
        <v>Medium</v>
      </c>
    </row>
    <row r="728" spans="1:8" ht="15.75" customHeight="1" x14ac:dyDescent="0.25">
      <c r="A728" s="19" t="s">
        <v>129</v>
      </c>
      <c r="B728" s="19">
        <v>1590</v>
      </c>
      <c r="C728" s="19">
        <v>2</v>
      </c>
      <c r="D728" s="19">
        <v>2</v>
      </c>
      <c r="E728" s="23" t="s">
        <v>27</v>
      </c>
      <c r="F728" s="19" t="str">
        <f t="shared" si="2"/>
        <v>Medium</v>
      </c>
      <c r="G728" s="19">
        <v>1250000</v>
      </c>
      <c r="H728" s="19" t="str">
        <f>IF(' BENGALURU HOUSE PRICE'!$G728&lt;=500000,"Low",
IF(' BENGALURU HOUSE PRICE'!$G728&lt;=1000000,"Medium",
IF(' BENGALURU HOUSE PRICE'!$G728&lt;=3000000,"High","Luxury")))</f>
        <v>High</v>
      </c>
    </row>
    <row r="729" spans="1:8" ht="15.75" customHeight="1" x14ac:dyDescent="0.25">
      <c r="A729" s="19" t="s">
        <v>407</v>
      </c>
      <c r="B729" s="19">
        <v>1210</v>
      </c>
      <c r="C729" s="19">
        <v>4</v>
      </c>
      <c r="D729" s="19">
        <v>2</v>
      </c>
      <c r="E729" s="23" t="s">
        <v>292</v>
      </c>
      <c r="F729" s="19" t="str">
        <f t="shared" si="2"/>
        <v>Medium</v>
      </c>
      <c r="G729" s="19">
        <v>1600000</v>
      </c>
      <c r="H729" s="19" t="str">
        <f>IF(' BENGALURU HOUSE PRICE'!$G729&lt;=500000,"Low",
IF(' BENGALURU HOUSE PRICE'!$G729&lt;=1000000,"Medium",
IF(' BENGALURU HOUSE PRICE'!$G729&lt;=3000000,"High","Luxury")))</f>
        <v>High</v>
      </c>
    </row>
    <row r="730" spans="1:8" ht="15.75" customHeight="1" x14ac:dyDescent="0.25">
      <c r="A730" s="19" t="s">
        <v>21</v>
      </c>
      <c r="B730" s="19">
        <v>1200</v>
      </c>
      <c r="C730" s="19">
        <v>4</v>
      </c>
      <c r="D730" s="19">
        <v>0</v>
      </c>
      <c r="E730" s="23" t="s">
        <v>264</v>
      </c>
      <c r="F730" s="19" t="str">
        <f t="shared" si="2"/>
        <v>Medium</v>
      </c>
      <c r="G730" s="19">
        <v>2200000</v>
      </c>
      <c r="H730" s="19" t="str">
        <f>IF(' BENGALURU HOUSE PRICE'!$G730&lt;=500000,"Low",
IF(' BENGALURU HOUSE PRICE'!$G730&lt;=1000000,"Medium",
IF(' BENGALURU HOUSE PRICE'!$G730&lt;=3000000,"High","Luxury")))</f>
        <v>High</v>
      </c>
    </row>
    <row r="731" spans="1:8" ht="15.75" customHeight="1" x14ac:dyDescent="0.25">
      <c r="A731" s="19" t="s">
        <v>408</v>
      </c>
      <c r="B731" s="19">
        <v>1202</v>
      </c>
      <c r="C731" s="19">
        <v>2</v>
      </c>
      <c r="D731" s="19">
        <v>1</v>
      </c>
      <c r="E731" s="23" t="s">
        <v>262</v>
      </c>
      <c r="F731" s="19" t="str">
        <f t="shared" si="2"/>
        <v>Medium</v>
      </c>
      <c r="G731" s="19">
        <v>480000</v>
      </c>
      <c r="H731" s="19" t="str">
        <f>IF(' BENGALURU HOUSE PRICE'!$G731&lt;=500000,"Low",
IF(' BENGALURU HOUSE PRICE'!$G731&lt;=1000000,"Medium",
IF(' BENGALURU HOUSE PRICE'!$G731&lt;=3000000,"High","Luxury")))</f>
        <v>Low</v>
      </c>
    </row>
    <row r="732" spans="1:8" ht="15.75" customHeight="1" x14ac:dyDescent="0.25">
      <c r="A732" s="19" t="s">
        <v>17</v>
      </c>
      <c r="B732" s="19">
        <v>1202</v>
      </c>
      <c r="C732" s="19">
        <v>2</v>
      </c>
      <c r="D732" s="19">
        <v>1</v>
      </c>
      <c r="E732" s="23" t="s">
        <v>262</v>
      </c>
      <c r="F732" s="19" t="str">
        <f t="shared" si="2"/>
        <v>Medium</v>
      </c>
      <c r="G732" s="19">
        <v>530000</v>
      </c>
      <c r="H732" s="19" t="str">
        <f>IF(' BENGALURU HOUSE PRICE'!$G732&lt;=500000,"Low",
IF(' BENGALURU HOUSE PRICE'!$G732&lt;=1000000,"Medium",
IF(' BENGALURU HOUSE PRICE'!$G732&lt;=3000000,"High","Luxury")))</f>
        <v>Medium</v>
      </c>
    </row>
    <row r="733" spans="1:8" ht="15.75" customHeight="1" x14ac:dyDescent="0.25">
      <c r="A733" s="19" t="s">
        <v>409</v>
      </c>
      <c r="B733" s="19">
        <v>1200</v>
      </c>
      <c r="C733" s="19">
        <v>2</v>
      </c>
      <c r="D733" s="19">
        <v>3</v>
      </c>
      <c r="E733" s="23" t="s">
        <v>262</v>
      </c>
      <c r="F733" s="19" t="str">
        <f t="shared" si="2"/>
        <v>Medium</v>
      </c>
      <c r="G733" s="19">
        <v>625000</v>
      </c>
      <c r="H733" s="19" t="str">
        <f>IF(' BENGALURU HOUSE PRICE'!$G733&lt;=500000,"Low",
IF(' BENGALURU HOUSE PRICE'!$G733&lt;=1000000,"Medium",
IF(' BENGALURU HOUSE PRICE'!$G733&lt;=3000000,"High","Luxury")))</f>
        <v>Medium</v>
      </c>
    </row>
    <row r="734" spans="1:8" ht="15.75" customHeight="1" x14ac:dyDescent="0.25">
      <c r="A734" s="19" t="s">
        <v>192</v>
      </c>
      <c r="B734" s="19">
        <v>1688</v>
      </c>
      <c r="C734" s="19">
        <v>3</v>
      </c>
      <c r="D734" s="19">
        <v>1</v>
      </c>
      <c r="E734" s="23" t="s">
        <v>27</v>
      </c>
      <c r="F734" s="19" t="str">
        <f t="shared" si="2"/>
        <v>Medium</v>
      </c>
      <c r="G734" s="19">
        <v>1180000</v>
      </c>
      <c r="H734" s="19" t="str">
        <f>IF(' BENGALURU HOUSE PRICE'!$G734&lt;=500000,"Low",
IF(' BENGALURU HOUSE PRICE'!$G734&lt;=1000000,"Medium",
IF(' BENGALURU HOUSE PRICE'!$G734&lt;=3000000,"High","Luxury")))</f>
        <v>High</v>
      </c>
    </row>
    <row r="735" spans="1:8" ht="15.75" customHeight="1" x14ac:dyDescent="0.25">
      <c r="A735" s="19" t="s">
        <v>278</v>
      </c>
      <c r="B735" s="19">
        <v>1020</v>
      </c>
      <c r="C735" s="19">
        <v>2</v>
      </c>
      <c r="D735" s="19">
        <v>1</v>
      </c>
      <c r="E735" s="23" t="s">
        <v>262</v>
      </c>
      <c r="F735" s="19" t="str">
        <f t="shared" si="2"/>
        <v>Medium</v>
      </c>
      <c r="G735" s="19">
        <v>520000</v>
      </c>
      <c r="H735" s="19" t="str">
        <f>IF(' BENGALURU HOUSE PRICE'!$G735&lt;=500000,"Low",
IF(' BENGALURU HOUSE PRICE'!$G735&lt;=1000000,"Medium",
IF(' BENGALURU HOUSE PRICE'!$G735&lt;=3000000,"High","Luxury")))</f>
        <v>Medium</v>
      </c>
    </row>
    <row r="736" spans="1:8" ht="15.75" customHeight="1" x14ac:dyDescent="0.25">
      <c r="A736" s="19" t="s">
        <v>210</v>
      </c>
      <c r="B736" s="19">
        <v>1185</v>
      </c>
      <c r="C736" s="19">
        <v>2</v>
      </c>
      <c r="D736" s="19">
        <v>2</v>
      </c>
      <c r="E736" s="23" t="s">
        <v>262</v>
      </c>
      <c r="F736" s="19" t="str">
        <f t="shared" si="2"/>
        <v>Medium</v>
      </c>
      <c r="G736" s="19">
        <v>470000</v>
      </c>
      <c r="H736" s="19" t="str">
        <f>IF(' BENGALURU HOUSE PRICE'!$G736&lt;=500000,"Low",
IF(' BENGALURU HOUSE PRICE'!$G736&lt;=1000000,"Medium",
IF(' BENGALURU HOUSE PRICE'!$G736&lt;=3000000,"High","Luxury")))</f>
        <v>Low</v>
      </c>
    </row>
    <row r="737" spans="1:8" ht="15.75" customHeight="1" x14ac:dyDescent="0.25">
      <c r="A737" s="19" t="s">
        <v>268</v>
      </c>
      <c r="B737" s="19">
        <v>1235</v>
      </c>
      <c r="C737" s="19">
        <v>2</v>
      </c>
      <c r="D737" s="19">
        <v>1</v>
      </c>
      <c r="E737" s="23" t="s">
        <v>262</v>
      </c>
      <c r="F737" s="19" t="str">
        <f t="shared" si="2"/>
        <v>Medium</v>
      </c>
      <c r="G737" s="19">
        <v>520400</v>
      </c>
      <c r="H737" s="19" t="str">
        <f>IF(' BENGALURU HOUSE PRICE'!$G737&lt;=500000,"Low",
IF(' BENGALURU HOUSE PRICE'!$G737&lt;=1000000,"Medium",
IF(' BENGALURU HOUSE PRICE'!$G737&lt;=3000000,"High","Luxury")))</f>
        <v>Medium</v>
      </c>
    </row>
    <row r="738" spans="1:8" ht="15.75" customHeight="1" x14ac:dyDescent="0.25">
      <c r="A738" s="19" t="s">
        <v>119</v>
      </c>
      <c r="B738" s="19">
        <v>3205</v>
      </c>
      <c r="C738" s="19">
        <v>5</v>
      </c>
      <c r="D738" s="19">
        <v>1</v>
      </c>
      <c r="E738" s="23" t="s">
        <v>264</v>
      </c>
      <c r="F738" s="19" t="str">
        <f t="shared" si="2"/>
        <v>Large</v>
      </c>
      <c r="G738" s="19">
        <v>5000000</v>
      </c>
      <c r="H738" s="19" t="str">
        <f>IF(' BENGALURU HOUSE PRICE'!$G738&lt;=500000,"Low",
IF(' BENGALURU HOUSE PRICE'!$G738&lt;=1000000,"Medium",
IF(' BENGALURU HOUSE PRICE'!$G738&lt;=3000000,"High","Luxury")))</f>
        <v>Luxury</v>
      </c>
    </row>
    <row r="739" spans="1:8" ht="15.75" customHeight="1" x14ac:dyDescent="0.25">
      <c r="A739" s="19" t="s">
        <v>48</v>
      </c>
      <c r="B739" s="19">
        <v>1077</v>
      </c>
      <c r="C739" s="19">
        <v>2</v>
      </c>
      <c r="D739" s="19">
        <v>2</v>
      </c>
      <c r="E739" s="23" t="s">
        <v>262</v>
      </c>
      <c r="F739" s="19" t="str">
        <f t="shared" si="2"/>
        <v>Medium</v>
      </c>
      <c r="G739" s="19">
        <v>376400</v>
      </c>
      <c r="H739" s="19" t="str">
        <f>IF(' BENGALURU HOUSE PRICE'!$G739&lt;=500000,"Low",
IF(' BENGALURU HOUSE PRICE'!$G739&lt;=1000000,"Medium",
IF(' BENGALURU HOUSE PRICE'!$G739&lt;=3000000,"High","Luxury")))</f>
        <v>Low</v>
      </c>
    </row>
    <row r="740" spans="1:8" ht="15.75" customHeight="1" x14ac:dyDescent="0.25">
      <c r="A740" s="19" t="s">
        <v>149</v>
      </c>
      <c r="B740" s="19">
        <v>1415</v>
      </c>
      <c r="C740" s="19">
        <v>2</v>
      </c>
      <c r="D740" s="19">
        <v>3</v>
      </c>
      <c r="E740" s="23" t="s">
        <v>27</v>
      </c>
      <c r="F740" s="19" t="str">
        <f t="shared" si="2"/>
        <v>Medium</v>
      </c>
      <c r="G740" s="19">
        <v>660000</v>
      </c>
      <c r="H740" s="19" t="str">
        <f>IF(' BENGALURU HOUSE PRICE'!$G740&lt;=500000,"Low",
IF(' BENGALURU HOUSE PRICE'!$G740&lt;=1000000,"Medium",
IF(' BENGALURU HOUSE PRICE'!$G740&lt;=3000000,"High","Luxury")))</f>
        <v>Medium</v>
      </c>
    </row>
    <row r="741" spans="1:8" ht="15.75" customHeight="1" x14ac:dyDescent="0.25">
      <c r="A741" s="19" t="s">
        <v>98</v>
      </c>
      <c r="B741" s="19">
        <v>2330</v>
      </c>
      <c r="C741" s="19">
        <v>3</v>
      </c>
      <c r="D741" s="19">
        <v>2</v>
      </c>
      <c r="E741" s="23" t="s">
        <v>27</v>
      </c>
      <c r="F741" s="19" t="str">
        <f t="shared" si="2"/>
        <v>Large</v>
      </c>
      <c r="G741" s="19">
        <v>1620000</v>
      </c>
      <c r="H741" s="19" t="str">
        <f>IF(' BENGALURU HOUSE PRICE'!$G741&lt;=500000,"Low",
IF(' BENGALURU HOUSE PRICE'!$G741&lt;=1000000,"Medium",
IF(' BENGALURU HOUSE PRICE'!$G741&lt;=3000000,"High","Luxury")))</f>
        <v>High</v>
      </c>
    </row>
    <row r="742" spans="1:8" ht="15.75" customHeight="1" x14ac:dyDescent="0.25">
      <c r="A742" s="19" t="s">
        <v>25</v>
      </c>
      <c r="B742" s="19">
        <v>805</v>
      </c>
      <c r="C742" s="19">
        <v>2</v>
      </c>
      <c r="D742" s="19">
        <v>2</v>
      </c>
      <c r="E742" s="23" t="s">
        <v>262</v>
      </c>
      <c r="F742" s="19" t="str">
        <f t="shared" si="2"/>
        <v>Small</v>
      </c>
      <c r="G742" s="19">
        <v>350000</v>
      </c>
      <c r="H742" s="19" t="str">
        <f>IF(' BENGALURU HOUSE PRICE'!$G742&lt;=500000,"Low",
IF(' BENGALURU HOUSE PRICE'!$G742&lt;=1000000,"Medium",
IF(' BENGALURU HOUSE PRICE'!$G742&lt;=3000000,"High","Luxury")))</f>
        <v>Low</v>
      </c>
    </row>
    <row r="743" spans="1:8" ht="15.75" customHeight="1" x14ac:dyDescent="0.25">
      <c r="A743" s="19" t="s">
        <v>410</v>
      </c>
      <c r="B743" s="19">
        <v>425</v>
      </c>
      <c r="C743" s="19">
        <v>1</v>
      </c>
      <c r="D743" s="19">
        <v>0</v>
      </c>
      <c r="E743" s="23" t="s">
        <v>267</v>
      </c>
      <c r="F743" s="19" t="str">
        <f t="shared" si="2"/>
        <v>Small</v>
      </c>
      <c r="G743" s="19">
        <v>200300</v>
      </c>
      <c r="H743" s="19" t="str">
        <f>IF(' BENGALURU HOUSE PRICE'!$G743&lt;=500000,"Low",
IF(' BENGALURU HOUSE PRICE'!$G743&lt;=1000000,"Medium",
IF(' BENGALURU HOUSE PRICE'!$G743&lt;=3000000,"High","Luxury")))</f>
        <v>Low</v>
      </c>
    </row>
    <row r="744" spans="1:8" ht="15.75" customHeight="1" x14ac:dyDescent="0.25">
      <c r="A744" s="19" t="s">
        <v>25</v>
      </c>
      <c r="B744" s="19">
        <v>1155</v>
      </c>
      <c r="C744" s="19">
        <v>2</v>
      </c>
      <c r="D744" s="19">
        <v>3</v>
      </c>
      <c r="E744" s="23" t="s">
        <v>262</v>
      </c>
      <c r="F744" s="19" t="str">
        <f t="shared" si="2"/>
        <v>Medium</v>
      </c>
      <c r="G744" s="19">
        <v>599500</v>
      </c>
      <c r="H744" s="19" t="str">
        <f>IF(' BENGALURU HOUSE PRICE'!$G744&lt;=500000,"Low",
IF(' BENGALURU HOUSE PRICE'!$G744&lt;=1000000,"Medium",
IF(' BENGALURU HOUSE PRICE'!$G744&lt;=3000000,"High","Luxury")))</f>
        <v>Medium</v>
      </c>
    </row>
    <row r="745" spans="1:8" ht="15.75" customHeight="1" x14ac:dyDescent="0.25">
      <c r="A745" s="19" t="s">
        <v>3</v>
      </c>
      <c r="B745" s="19">
        <v>5270</v>
      </c>
      <c r="C745" s="19">
        <v>4</v>
      </c>
      <c r="D745" s="19">
        <v>3</v>
      </c>
      <c r="E745" s="23" t="s">
        <v>264</v>
      </c>
      <c r="F745" s="19" t="str">
        <f t="shared" si="2"/>
        <v>Large</v>
      </c>
      <c r="G745" s="19">
        <v>12500000</v>
      </c>
      <c r="H745" s="19" t="str">
        <f>IF(' BENGALURU HOUSE PRICE'!$G745&lt;=500000,"Low",
IF(' BENGALURU HOUSE PRICE'!$G745&lt;=1000000,"Medium",
IF(' BENGALURU HOUSE PRICE'!$G745&lt;=3000000,"High","Luxury")))</f>
        <v>Luxury</v>
      </c>
    </row>
    <row r="746" spans="1:8" ht="15.75" customHeight="1" x14ac:dyDescent="0.25">
      <c r="A746" s="19" t="s">
        <v>338</v>
      </c>
      <c r="B746" s="19">
        <v>656</v>
      </c>
      <c r="C746" s="19">
        <v>2</v>
      </c>
      <c r="D746" s="19">
        <v>1</v>
      </c>
      <c r="E746" s="23" t="s">
        <v>262</v>
      </c>
      <c r="F746" s="19" t="str">
        <f t="shared" si="2"/>
        <v>Small</v>
      </c>
      <c r="G746" s="19">
        <v>220000</v>
      </c>
      <c r="H746" s="19" t="str">
        <f>IF(' BENGALURU HOUSE PRICE'!$G746&lt;=500000,"Low",
IF(' BENGALURU HOUSE PRICE'!$G746&lt;=1000000,"Medium",
IF(' BENGALURU HOUSE PRICE'!$G746&lt;=3000000,"High","Luxury")))</f>
        <v>Low</v>
      </c>
    </row>
    <row r="747" spans="1:8" ht="15.75" customHeight="1" x14ac:dyDescent="0.25">
      <c r="A747" s="19" t="s">
        <v>411</v>
      </c>
      <c r="B747" s="19">
        <v>1100</v>
      </c>
      <c r="C747" s="19">
        <v>2</v>
      </c>
      <c r="D747" s="19">
        <v>0</v>
      </c>
      <c r="E747" s="23" t="s">
        <v>262</v>
      </c>
      <c r="F747" s="19" t="str">
        <f t="shared" si="2"/>
        <v>Medium</v>
      </c>
      <c r="G747" s="19">
        <v>480000</v>
      </c>
      <c r="H747" s="19" t="str">
        <f>IF(' BENGALURU HOUSE PRICE'!$G747&lt;=500000,"Low",
IF(' BENGALURU HOUSE PRICE'!$G747&lt;=1000000,"Medium",
IF(' BENGALURU HOUSE PRICE'!$G747&lt;=3000000,"High","Luxury")))</f>
        <v>Low</v>
      </c>
    </row>
    <row r="748" spans="1:8" ht="15.75" customHeight="1" x14ac:dyDescent="0.25">
      <c r="A748" s="19" t="s">
        <v>169</v>
      </c>
      <c r="B748" s="19">
        <v>1150</v>
      </c>
      <c r="C748" s="19">
        <v>2</v>
      </c>
      <c r="D748" s="19">
        <v>3</v>
      </c>
      <c r="E748" s="23" t="s">
        <v>262</v>
      </c>
      <c r="F748" s="19" t="str">
        <f t="shared" si="2"/>
        <v>Medium</v>
      </c>
      <c r="G748" s="19">
        <v>520000</v>
      </c>
      <c r="H748" s="19" t="str">
        <f>IF(' BENGALURU HOUSE PRICE'!$G748&lt;=500000,"Low",
IF(' BENGALURU HOUSE PRICE'!$G748&lt;=1000000,"Medium",
IF(' BENGALURU HOUSE PRICE'!$G748&lt;=3000000,"High","Luxury")))</f>
        <v>Medium</v>
      </c>
    </row>
    <row r="749" spans="1:8" ht="15.75" customHeight="1" x14ac:dyDescent="0.25">
      <c r="A749" s="19" t="s">
        <v>412</v>
      </c>
      <c r="B749" s="19">
        <v>600</v>
      </c>
      <c r="C749" s="19">
        <v>1</v>
      </c>
      <c r="D749" s="19">
        <v>1</v>
      </c>
      <c r="E749" s="23" t="s">
        <v>267</v>
      </c>
      <c r="F749" s="19" t="str">
        <f t="shared" si="2"/>
        <v>Small</v>
      </c>
      <c r="G749" s="19">
        <v>600000</v>
      </c>
      <c r="H749" s="19" t="str">
        <f>IF(' BENGALURU HOUSE PRICE'!$G749&lt;=500000,"Low",
IF(' BENGALURU HOUSE PRICE'!$G749&lt;=1000000,"Medium",
IF(' BENGALURU HOUSE PRICE'!$G749&lt;=3000000,"High","Luxury")))</f>
        <v>Medium</v>
      </c>
    </row>
    <row r="750" spans="1:8" ht="15.75" customHeight="1" x14ac:dyDescent="0.25">
      <c r="A750" s="19" t="s">
        <v>37</v>
      </c>
      <c r="B750" s="19">
        <v>1468</v>
      </c>
      <c r="C750" s="19">
        <v>2</v>
      </c>
      <c r="D750" s="19">
        <v>1</v>
      </c>
      <c r="E750" s="23" t="s">
        <v>262</v>
      </c>
      <c r="F750" s="19" t="str">
        <f t="shared" si="2"/>
        <v>Medium</v>
      </c>
      <c r="G750" s="19">
        <v>1400000</v>
      </c>
      <c r="H750" s="19" t="str">
        <f>IF(' BENGALURU HOUSE PRICE'!$G750&lt;=500000,"Low",
IF(' BENGALURU HOUSE PRICE'!$G750&lt;=1000000,"Medium",
IF(' BENGALURU HOUSE PRICE'!$G750&lt;=3000000,"High","Luxury")))</f>
        <v>High</v>
      </c>
    </row>
    <row r="751" spans="1:8" ht="15.75" customHeight="1" x14ac:dyDescent="0.25">
      <c r="A751" s="19" t="s">
        <v>413</v>
      </c>
      <c r="B751" s="19">
        <v>4300</v>
      </c>
      <c r="C751" s="19">
        <v>5</v>
      </c>
      <c r="D751" s="19">
        <v>2</v>
      </c>
      <c r="E751" s="23" t="s">
        <v>264</v>
      </c>
      <c r="F751" s="19" t="str">
        <f t="shared" si="2"/>
        <v>Large</v>
      </c>
      <c r="G751" s="19">
        <v>5500000</v>
      </c>
      <c r="H751" s="19" t="str">
        <f>IF(' BENGALURU HOUSE PRICE'!$G751&lt;=500000,"Low",
IF(' BENGALURU HOUSE PRICE'!$G751&lt;=1000000,"Medium",
IF(' BENGALURU HOUSE PRICE'!$G751&lt;=3000000,"High","Luxury")))</f>
        <v>Luxury</v>
      </c>
    </row>
    <row r="752" spans="1:8" ht="15.75" customHeight="1" x14ac:dyDescent="0.25">
      <c r="A752" s="19" t="s">
        <v>25</v>
      </c>
      <c r="B752" s="19">
        <v>2280</v>
      </c>
      <c r="C752" s="19">
        <v>4</v>
      </c>
      <c r="D752" s="19">
        <v>2</v>
      </c>
      <c r="E752" s="23" t="s">
        <v>27</v>
      </c>
      <c r="F752" s="19" t="str">
        <f t="shared" si="2"/>
        <v>Large</v>
      </c>
      <c r="G752" s="19">
        <v>1260000</v>
      </c>
      <c r="H752" s="19" t="str">
        <f>IF(' BENGALURU HOUSE PRICE'!$G752&lt;=500000,"Low",
IF(' BENGALURU HOUSE PRICE'!$G752&lt;=1000000,"Medium",
IF(' BENGALURU HOUSE PRICE'!$G752&lt;=3000000,"High","Luxury")))</f>
        <v>High</v>
      </c>
    </row>
    <row r="753" spans="1:8" ht="15.75" customHeight="1" x14ac:dyDescent="0.25">
      <c r="A753" s="19" t="s">
        <v>110</v>
      </c>
      <c r="B753" s="19">
        <v>1341</v>
      </c>
      <c r="C753" s="19">
        <v>2</v>
      </c>
      <c r="D753" s="19">
        <v>1</v>
      </c>
      <c r="E753" s="23" t="s">
        <v>262</v>
      </c>
      <c r="F753" s="19" t="str">
        <f t="shared" si="2"/>
        <v>Medium</v>
      </c>
      <c r="G753" s="19">
        <v>970000</v>
      </c>
      <c r="H753" s="19" t="str">
        <f>IF(' BENGALURU HOUSE PRICE'!$G753&lt;=500000,"Low",
IF(' BENGALURU HOUSE PRICE'!$G753&lt;=1000000,"Medium",
IF(' BENGALURU HOUSE PRICE'!$G753&lt;=3000000,"High","Luxury")))</f>
        <v>Medium</v>
      </c>
    </row>
    <row r="754" spans="1:8" ht="15.75" customHeight="1" x14ac:dyDescent="0.25">
      <c r="A754" s="19" t="s">
        <v>129</v>
      </c>
      <c r="B754" s="19">
        <v>1279</v>
      </c>
      <c r="C754" s="19">
        <v>2</v>
      </c>
      <c r="D754" s="19">
        <v>1</v>
      </c>
      <c r="E754" s="23" t="s">
        <v>262</v>
      </c>
      <c r="F754" s="19" t="str">
        <f t="shared" si="2"/>
        <v>Medium</v>
      </c>
      <c r="G754" s="19">
        <v>770000</v>
      </c>
      <c r="H754" s="19" t="str">
        <f>IF(' BENGALURU HOUSE PRICE'!$G754&lt;=500000,"Low",
IF(' BENGALURU HOUSE PRICE'!$G754&lt;=1000000,"Medium",
IF(' BENGALURU HOUSE PRICE'!$G754&lt;=3000000,"High","Luxury")))</f>
        <v>Medium</v>
      </c>
    </row>
    <row r="755" spans="1:8" ht="15.75" customHeight="1" x14ac:dyDescent="0.25">
      <c r="A755" s="19" t="s">
        <v>96</v>
      </c>
      <c r="B755" s="19">
        <v>2225</v>
      </c>
      <c r="C755" s="19">
        <v>4</v>
      </c>
      <c r="D755" s="19">
        <v>0</v>
      </c>
      <c r="E755" s="23" t="s">
        <v>264</v>
      </c>
      <c r="F755" s="19" t="str">
        <f t="shared" si="2"/>
        <v>Large</v>
      </c>
      <c r="G755" s="19">
        <v>988800</v>
      </c>
      <c r="H755" s="19" t="str">
        <f>IF(' BENGALURU HOUSE PRICE'!$G755&lt;=500000,"Low",
IF(' BENGALURU HOUSE PRICE'!$G755&lt;=1000000,"Medium",
IF(' BENGALURU HOUSE PRICE'!$G755&lt;=3000000,"High","Luxury")))</f>
        <v>Medium</v>
      </c>
    </row>
    <row r="756" spans="1:8" ht="15.75" customHeight="1" x14ac:dyDescent="0.25">
      <c r="A756" s="19" t="s">
        <v>23</v>
      </c>
      <c r="B756" s="19">
        <v>1185</v>
      </c>
      <c r="C756" s="19">
        <v>2</v>
      </c>
      <c r="D756" s="19">
        <v>2</v>
      </c>
      <c r="E756" s="23" t="s">
        <v>262</v>
      </c>
      <c r="F756" s="19" t="str">
        <f t="shared" si="2"/>
        <v>Medium</v>
      </c>
      <c r="G756" s="19">
        <v>435100</v>
      </c>
      <c r="H756" s="19" t="str">
        <f>IF(' BENGALURU HOUSE PRICE'!$G756&lt;=500000,"Low",
IF(' BENGALURU HOUSE PRICE'!$G756&lt;=1000000,"Medium",
IF(' BENGALURU HOUSE PRICE'!$G756&lt;=3000000,"High","Luxury")))</f>
        <v>Low</v>
      </c>
    </row>
    <row r="757" spans="1:8" ht="15.75" customHeight="1" x14ac:dyDescent="0.25">
      <c r="A757" s="19" t="s">
        <v>239</v>
      </c>
      <c r="B757" s="19">
        <v>1750</v>
      </c>
      <c r="C757" s="19">
        <v>3</v>
      </c>
      <c r="D757" s="19">
        <v>2</v>
      </c>
      <c r="E757" s="23" t="s">
        <v>27</v>
      </c>
      <c r="F757" s="19" t="str">
        <f t="shared" si="2"/>
        <v>Medium</v>
      </c>
      <c r="G757" s="19">
        <v>850000</v>
      </c>
      <c r="H757" s="19" t="str">
        <f>IF(' BENGALURU HOUSE PRICE'!$G757&lt;=500000,"Low",
IF(' BENGALURU HOUSE PRICE'!$G757&lt;=1000000,"Medium",
IF(' BENGALURU HOUSE PRICE'!$G757&lt;=3000000,"High","Luxury")))</f>
        <v>Medium</v>
      </c>
    </row>
    <row r="758" spans="1:8" ht="15.75" customHeight="1" x14ac:dyDescent="0.25">
      <c r="A758" s="19" t="s">
        <v>414</v>
      </c>
      <c r="B758" s="19">
        <v>1152</v>
      </c>
      <c r="C758" s="19">
        <v>2</v>
      </c>
      <c r="D758" s="19">
        <v>1</v>
      </c>
      <c r="E758" s="23" t="s">
        <v>262</v>
      </c>
      <c r="F758" s="19" t="str">
        <f t="shared" si="2"/>
        <v>Medium</v>
      </c>
      <c r="G758" s="19">
        <v>535000</v>
      </c>
      <c r="H758" s="19" t="str">
        <f>IF(' BENGALURU HOUSE PRICE'!$G758&lt;=500000,"Low",
IF(' BENGALURU HOUSE PRICE'!$G758&lt;=1000000,"Medium",
IF(' BENGALURU HOUSE PRICE'!$G758&lt;=3000000,"High","Luxury")))</f>
        <v>Medium</v>
      </c>
    </row>
    <row r="759" spans="1:8" ht="15.75" customHeight="1" x14ac:dyDescent="0.25">
      <c r="A759" s="19" t="s">
        <v>415</v>
      </c>
      <c r="B759" s="19">
        <v>1000</v>
      </c>
      <c r="C759" s="19">
        <v>4</v>
      </c>
      <c r="D759" s="19">
        <v>1</v>
      </c>
      <c r="E759" s="23" t="s">
        <v>292</v>
      </c>
      <c r="F759" s="19" t="str">
        <f t="shared" si="2"/>
        <v>Small</v>
      </c>
      <c r="G759" s="19">
        <v>1600000</v>
      </c>
      <c r="H759" s="19" t="str">
        <f>IF(' BENGALURU HOUSE PRICE'!$G759&lt;=500000,"Low",
IF(' BENGALURU HOUSE PRICE'!$G759&lt;=1000000,"Medium",
IF(' BENGALURU HOUSE PRICE'!$G759&lt;=3000000,"High","Luxury")))</f>
        <v>High</v>
      </c>
    </row>
    <row r="760" spans="1:8" ht="15.75" customHeight="1" x14ac:dyDescent="0.25">
      <c r="A760" s="19" t="s">
        <v>123</v>
      </c>
      <c r="B760" s="19">
        <v>1300</v>
      </c>
      <c r="C760" s="19">
        <v>2</v>
      </c>
      <c r="D760" s="19">
        <v>3</v>
      </c>
      <c r="E760" s="23" t="s">
        <v>262</v>
      </c>
      <c r="F760" s="19" t="str">
        <f t="shared" si="2"/>
        <v>Medium</v>
      </c>
      <c r="G760" s="19">
        <v>360000</v>
      </c>
      <c r="H760" s="19" t="str">
        <f>IF(' BENGALURU HOUSE PRICE'!$G760&lt;=500000,"Low",
IF(' BENGALURU HOUSE PRICE'!$G760&lt;=1000000,"Medium",
IF(' BENGALURU HOUSE PRICE'!$G760&lt;=3000000,"High","Luxury")))</f>
        <v>Low</v>
      </c>
    </row>
    <row r="761" spans="1:8" ht="15.75" customHeight="1" x14ac:dyDescent="0.25">
      <c r="A761" s="19" t="s">
        <v>400</v>
      </c>
      <c r="B761" s="19">
        <v>2760</v>
      </c>
      <c r="C761" s="19">
        <v>4</v>
      </c>
      <c r="D761" s="19">
        <v>2</v>
      </c>
      <c r="E761" s="23" t="s">
        <v>264</v>
      </c>
      <c r="F761" s="19" t="str">
        <f t="shared" si="2"/>
        <v>Large</v>
      </c>
      <c r="G761" s="19">
        <v>1550000</v>
      </c>
      <c r="H761" s="19" t="str">
        <f>IF(' BENGALURU HOUSE PRICE'!$G761&lt;=500000,"Low",
IF(' BENGALURU HOUSE PRICE'!$G761&lt;=1000000,"Medium",
IF(' BENGALURU HOUSE PRICE'!$G761&lt;=3000000,"High","Luxury")))</f>
        <v>High</v>
      </c>
    </row>
    <row r="762" spans="1:8" ht="15.75" customHeight="1" x14ac:dyDescent="0.25">
      <c r="A762" s="19" t="s">
        <v>337</v>
      </c>
      <c r="B762" s="19">
        <v>1070</v>
      </c>
      <c r="C762" s="19">
        <v>2</v>
      </c>
      <c r="D762" s="19">
        <v>2</v>
      </c>
      <c r="E762" s="23" t="s">
        <v>262</v>
      </c>
      <c r="F762" s="19" t="str">
        <f t="shared" si="2"/>
        <v>Medium</v>
      </c>
      <c r="G762" s="19">
        <v>390000</v>
      </c>
      <c r="H762" s="19" t="str">
        <f>IF(' BENGALURU HOUSE PRICE'!$G762&lt;=500000,"Low",
IF(' BENGALURU HOUSE PRICE'!$G762&lt;=1000000,"Medium",
IF(' BENGALURU HOUSE PRICE'!$G762&lt;=3000000,"High","Luxury")))</f>
        <v>Low</v>
      </c>
    </row>
    <row r="763" spans="1:8" ht="15.75" customHeight="1" x14ac:dyDescent="0.25">
      <c r="A763" s="19" t="s">
        <v>24</v>
      </c>
      <c r="B763" s="19">
        <v>1101</v>
      </c>
      <c r="C763" s="19">
        <v>2</v>
      </c>
      <c r="D763" s="19">
        <v>0</v>
      </c>
      <c r="E763" s="23" t="s">
        <v>262</v>
      </c>
      <c r="F763" s="19" t="str">
        <f t="shared" si="2"/>
        <v>Medium</v>
      </c>
      <c r="G763" s="19">
        <v>450000</v>
      </c>
      <c r="H763" s="19" t="str">
        <f>IF(' BENGALURU HOUSE PRICE'!$G763&lt;=500000,"Low",
IF(' BENGALURU HOUSE PRICE'!$G763&lt;=1000000,"Medium",
IF(' BENGALURU HOUSE PRICE'!$G763&lt;=3000000,"High","Luxury")))</f>
        <v>Low</v>
      </c>
    </row>
    <row r="764" spans="1:8" ht="15.75" customHeight="1" x14ac:dyDescent="0.25">
      <c r="A764" s="19" t="s">
        <v>416</v>
      </c>
      <c r="B764" s="19">
        <v>775</v>
      </c>
      <c r="C764" s="19">
        <v>2</v>
      </c>
      <c r="D764" s="19">
        <v>1</v>
      </c>
      <c r="E764" s="23" t="s">
        <v>262</v>
      </c>
      <c r="F764" s="19" t="str">
        <f t="shared" si="2"/>
        <v>Small</v>
      </c>
      <c r="G764" s="19">
        <v>550000</v>
      </c>
      <c r="H764" s="19" t="str">
        <f>IF(' BENGALURU HOUSE PRICE'!$G764&lt;=500000,"Low",
IF(' BENGALURU HOUSE PRICE'!$G764&lt;=1000000,"Medium",
IF(' BENGALURU HOUSE PRICE'!$G764&lt;=3000000,"High","Luxury")))</f>
        <v>Medium</v>
      </c>
    </row>
    <row r="765" spans="1:8" ht="15.75" customHeight="1" x14ac:dyDescent="0.25">
      <c r="A765" s="19" t="s">
        <v>250</v>
      </c>
      <c r="B765" s="19">
        <v>667</v>
      </c>
      <c r="C765" s="19">
        <v>1</v>
      </c>
      <c r="D765" s="19">
        <v>1</v>
      </c>
      <c r="E765" s="23" t="s">
        <v>267</v>
      </c>
      <c r="F765" s="19" t="str">
        <f t="shared" si="2"/>
        <v>Small</v>
      </c>
      <c r="G765" s="19">
        <v>368500</v>
      </c>
      <c r="H765" s="19" t="str">
        <f>IF(' BENGALURU HOUSE PRICE'!$G765&lt;=500000,"Low",
IF(' BENGALURU HOUSE PRICE'!$G765&lt;=1000000,"Medium",
IF(' BENGALURU HOUSE PRICE'!$G765&lt;=3000000,"High","Luxury")))</f>
        <v>Low</v>
      </c>
    </row>
    <row r="766" spans="1:8" ht="15.75" customHeight="1" x14ac:dyDescent="0.25">
      <c r="A766" s="19" t="s">
        <v>16</v>
      </c>
      <c r="B766" s="19">
        <v>1070</v>
      </c>
      <c r="C766" s="19">
        <v>2</v>
      </c>
      <c r="D766" s="19">
        <v>1</v>
      </c>
      <c r="E766" s="23" t="s">
        <v>262</v>
      </c>
      <c r="F766" s="19" t="str">
        <f t="shared" si="2"/>
        <v>Medium</v>
      </c>
      <c r="G766" s="19">
        <v>550000</v>
      </c>
      <c r="H766" s="19" t="str">
        <f>IF(' BENGALURU HOUSE PRICE'!$G766&lt;=500000,"Low",
IF(' BENGALURU HOUSE PRICE'!$G766&lt;=1000000,"Medium",
IF(' BENGALURU HOUSE PRICE'!$G766&lt;=3000000,"High","Luxury")))</f>
        <v>Medium</v>
      </c>
    </row>
    <row r="767" spans="1:8" ht="15.75" customHeight="1" x14ac:dyDescent="0.25">
      <c r="A767" s="19" t="s">
        <v>189</v>
      </c>
      <c r="B767" s="19">
        <v>1875</v>
      </c>
      <c r="C767" s="19">
        <v>2</v>
      </c>
      <c r="D767" s="19">
        <v>2</v>
      </c>
      <c r="E767" s="23" t="s">
        <v>27</v>
      </c>
      <c r="F767" s="19" t="str">
        <f t="shared" ref="F767:F1021" si="3">IF(B767&gt;2000,"Large",IF(B767&gt;1000,"Medium","Small"))</f>
        <v>Medium</v>
      </c>
      <c r="G767" s="19">
        <v>1100000</v>
      </c>
      <c r="H767" s="19" t="str">
        <f>IF(' BENGALURU HOUSE PRICE'!$G767&lt;=500000,"Low",
IF(' BENGALURU HOUSE PRICE'!$G767&lt;=1000000,"Medium",
IF(' BENGALURU HOUSE PRICE'!$G767&lt;=3000000,"High","Luxury")))</f>
        <v>High</v>
      </c>
    </row>
    <row r="768" spans="1:8" ht="15.75" customHeight="1" x14ac:dyDescent="0.25">
      <c r="A768" s="19" t="s">
        <v>162</v>
      </c>
      <c r="B768" s="19">
        <v>735</v>
      </c>
      <c r="C768" s="19">
        <v>2</v>
      </c>
      <c r="D768" s="19">
        <v>1</v>
      </c>
      <c r="E768" s="23" t="s">
        <v>262</v>
      </c>
      <c r="F768" s="19" t="str">
        <f t="shared" si="3"/>
        <v>Small</v>
      </c>
      <c r="G768" s="19">
        <v>579900</v>
      </c>
      <c r="H768" s="19" t="str">
        <f>IF(' BENGALURU HOUSE PRICE'!$G768&lt;=500000,"Low",
IF(' BENGALURU HOUSE PRICE'!$G768&lt;=1000000,"Medium",
IF(' BENGALURU HOUSE PRICE'!$G768&lt;=3000000,"High","Luxury")))</f>
        <v>Medium</v>
      </c>
    </row>
    <row r="769" spans="1:8" ht="15.75" customHeight="1" x14ac:dyDescent="0.25">
      <c r="A769" s="19" t="s">
        <v>210</v>
      </c>
      <c r="B769" s="19">
        <v>4360</v>
      </c>
      <c r="C769" s="19">
        <v>4</v>
      </c>
      <c r="D769" s="19">
        <v>1</v>
      </c>
      <c r="E769" s="23" t="s">
        <v>292</v>
      </c>
      <c r="F769" s="19" t="str">
        <f t="shared" si="3"/>
        <v>Large</v>
      </c>
      <c r="G769" s="19">
        <v>900000</v>
      </c>
      <c r="H769" s="19" t="str">
        <f>IF(' BENGALURU HOUSE PRICE'!$G769&lt;=500000,"Low",
IF(' BENGALURU HOUSE PRICE'!$G769&lt;=1000000,"Medium",
IF(' BENGALURU HOUSE PRICE'!$G769&lt;=3000000,"High","Luxury")))</f>
        <v>Medium</v>
      </c>
    </row>
    <row r="770" spans="1:8" ht="15.75" customHeight="1" x14ac:dyDescent="0.25">
      <c r="A770" s="19" t="s">
        <v>157</v>
      </c>
      <c r="B770" s="19">
        <v>1750</v>
      </c>
      <c r="C770" s="19">
        <v>3</v>
      </c>
      <c r="D770" s="19">
        <v>2</v>
      </c>
      <c r="E770" s="23" t="s">
        <v>27</v>
      </c>
      <c r="F770" s="19" t="str">
        <f t="shared" si="3"/>
        <v>Medium</v>
      </c>
      <c r="G770" s="19">
        <v>1300000</v>
      </c>
      <c r="H770" s="19" t="str">
        <f>IF(' BENGALURU HOUSE PRICE'!$G770&lt;=500000,"Low",
IF(' BENGALURU HOUSE PRICE'!$G770&lt;=1000000,"Medium",
IF(' BENGALURU HOUSE PRICE'!$G770&lt;=3000000,"High","Luxury")))</f>
        <v>High</v>
      </c>
    </row>
    <row r="771" spans="1:8" ht="15.75" customHeight="1" x14ac:dyDescent="0.25">
      <c r="A771" s="19" t="s">
        <v>20</v>
      </c>
      <c r="B771" s="19">
        <v>1215</v>
      </c>
      <c r="C771" s="19">
        <v>2</v>
      </c>
      <c r="D771" s="19">
        <v>1</v>
      </c>
      <c r="E771" s="23" t="s">
        <v>262</v>
      </c>
      <c r="F771" s="19" t="str">
        <f t="shared" si="3"/>
        <v>Medium</v>
      </c>
      <c r="G771" s="19">
        <v>670000</v>
      </c>
      <c r="H771" s="19" t="str">
        <f>IF(' BENGALURU HOUSE PRICE'!$G771&lt;=500000,"Low",
IF(' BENGALURU HOUSE PRICE'!$G771&lt;=1000000,"Medium",
IF(' BENGALURU HOUSE PRICE'!$G771&lt;=3000000,"High","Luxury")))</f>
        <v>Medium</v>
      </c>
    </row>
    <row r="772" spans="1:8" ht="15.75" customHeight="1" x14ac:dyDescent="0.25">
      <c r="A772" s="19" t="s">
        <v>417</v>
      </c>
      <c r="B772" s="19">
        <v>600</v>
      </c>
      <c r="C772" s="19">
        <v>9</v>
      </c>
      <c r="D772" s="19">
        <v>3</v>
      </c>
      <c r="E772" s="23" t="s">
        <v>377</v>
      </c>
      <c r="F772" s="19" t="str">
        <f t="shared" si="3"/>
        <v>Small</v>
      </c>
      <c r="G772" s="19">
        <v>1900000</v>
      </c>
      <c r="H772" s="19" t="str">
        <f>IF(' BENGALURU HOUSE PRICE'!$G772&lt;=500000,"Low",
IF(' BENGALURU HOUSE PRICE'!$G772&lt;=1000000,"Medium",
IF(' BENGALURU HOUSE PRICE'!$G772&lt;=3000000,"High","Luxury")))</f>
        <v>High</v>
      </c>
    </row>
    <row r="773" spans="1:8" ht="15.75" customHeight="1" x14ac:dyDescent="0.25">
      <c r="A773" s="19" t="s">
        <v>289</v>
      </c>
      <c r="B773" s="19">
        <v>820</v>
      </c>
      <c r="C773" s="19">
        <v>2</v>
      </c>
      <c r="D773" s="19">
        <v>1</v>
      </c>
      <c r="E773" s="23" t="s">
        <v>262</v>
      </c>
      <c r="F773" s="19" t="str">
        <f t="shared" si="3"/>
        <v>Small</v>
      </c>
      <c r="G773" s="19">
        <v>300000</v>
      </c>
      <c r="H773" s="19" t="str">
        <f>IF(' BENGALURU HOUSE PRICE'!$G773&lt;=500000,"Low",
IF(' BENGALURU HOUSE PRICE'!$G773&lt;=1000000,"Medium",
IF(' BENGALURU HOUSE PRICE'!$G773&lt;=3000000,"High","Luxury")))</f>
        <v>Low</v>
      </c>
    </row>
    <row r="774" spans="1:8" ht="15.75" customHeight="1" x14ac:dyDescent="0.25">
      <c r="A774" s="19" t="s">
        <v>418</v>
      </c>
      <c r="B774" s="19">
        <v>1559</v>
      </c>
      <c r="C774" s="19">
        <v>2</v>
      </c>
      <c r="D774" s="19">
        <v>0</v>
      </c>
      <c r="E774" s="23" t="s">
        <v>262</v>
      </c>
      <c r="F774" s="19" t="str">
        <f t="shared" si="3"/>
        <v>Medium</v>
      </c>
      <c r="G774" s="19">
        <v>599350</v>
      </c>
      <c r="H774" s="19" t="str">
        <f>IF(' BENGALURU HOUSE PRICE'!$G774&lt;=500000,"Low",
IF(' BENGALURU HOUSE PRICE'!$G774&lt;=1000000,"Medium",
IF(' BENGALURU HOUSE PRICE'!$G774&lt;=3000000,"High","Luxury")))</f>
        <v>Medium</v>
      </c>
    </row>
    <row r="775" spans="1:8" ht="15.75" customHeight="1" x14ac:dyDescent="0.25">
      <c r="A775" s="19" t="s">
        <v>57</v>
      </c>
      <c r="B775" s="19">
        <v>1779</v>
      </c>
      <c r="C775" s="19">
        <v>3</v>
      </c>
      <c r="D775" s="19">
        <v>2</v>
      </c>
      <c r="E775" s="23" t="s">
        <v>27</v>
      </c>
      <c r="F775" s="19" t="str">
        <f t="shared" si="3"/>
        <v>Medium</v>
      </c>
      <c r="G775" s="19">
        <v>896100</v>
      </c>
      <c r="H775" s="19" t="str">
        <f>IF(' BENGALURU HOUSE PRICE'!$G775&lt;=500000,"Low",
IF(' BENGALURU HOUSE PRICE'!$G775&lt;=1000000,"Medium",
IF(' BENGALURU HOUSE PRICE'!$G775&lt;=3000000,"High","Luxury")))</f>
        <v>Medium</v>
      </c>
    </row>
    <row r="776" spans="1:8" ht="15.75" customHeight="1" x14ac:dyDescent="0.25">
      <c r="A776" s="19" t="s">
        <v>419</v>
      </c>
      <c r="B776" s="19">
        <v>1105</v>
      </c>
      <c r="C776" s="19">
        <v>2</v>
      </c>
      <c r="D776" s="19">
        <v>2</v>
      </c>
      <c r="E776" s="23" t="s">
        <v>262</v>
      </c>
      <c r="F776" s="19" t="str">
        <f t="shared" si="3"/>
        <v>Medium</v>
      </c>
      <c r="G776" s="19">
        <v>580000</v>
      </c>
      <c r="H776" s="19" t="str">
        <f>IF(' BENGALURU HOUSE PRICE'!$G776&lt;=500000,"Low",
IF(' BENGALURU HOUSE PRICE'!$G776&lt;=1000000,"Medium",
IF(' BENGALURU HOUSE PRICE'!$G776&lt;=3000000,"High","Luxury")))</f>
        <v>Medium</v>
      </c>
    </row>
    <row r="777" spans="1:8" ht="15.75" customHeight="1" x14ac:dyDescent="0.25">
      <c r="A777" s="19" t="s">
        <v>53</v>
      </c>
      <c r="B777" s="19">
        <v>1559</v>
      </c>
      <c r="C777" s="19">
        <v>2</v>
      </c>
      <c r="D777" s="19">
        <v>1</v>
      </c>
      <c r="E777" s="23" t="s">
        <v>267</v>
      </c>
      <c r="F777" s="19" t="str">
        <f t="shared" si="3"/>
        <v>Medium</v>
      </c>
      <c r="G777" s="19">
        <v>930000</v>
      </c>
      <c r="H777" s="19" t="str">
        <f>IF(' BENGALURU HOUSE PRICE'!$G777&lt;=500000,"Low",
IF(' BENGALURU HOUSE PRICE'!$G777&lt;=1000000,"Medium",
IF(' BENGALURU HOUSE PRICE'!$G777&lt;=3000000,"High","Luxury")))</f>
        <v>Medium</v>
      </c>
    </row>
    <row r="778" spans="1:8" ht="15.75" customHeight="1" x14ac:dyDescent="0.25">
      <c r="A778" s="19" t="s">
        <v>25</v>
      </c>
      <c r="B778" s="19">
        <v>1650</v>
      </c>
      <c r="C778" s="19">
        <v>3</v>
      </c>
      <c r="D778" s="19">
        <v>2</v>
      </c>
      <c r="E778" s="23" t="s">
        <v>27</v>
      </c>
      <c r="F778" s="19" t="str">
        <f t="shared" si="3"/>
        <v>Medium</v>
      </c>
      <c r="G778" s="19">
        <v>600000</v>
      </c>
      <c r="H778" s="19" t="str">
        <f>IF(' BENGALURU HOUSE PRICE'!$G778&lt;=500000,"Low",
IF(' BENGALURU HOUSE PRICE'!$G778&lt;=1000000,"Medium",
IF(' BENGALURU HOUSE PRICE'!$G778&lt;=3000000,"High","Luxury")))</f>
        <v>Medium</v>
      </c>
    </row>
    <row r="779" spans="1:8" ht="15.75" customHeight="1" x14ac:dyDescent="0.25">
      <c r="A779" s="19" t="s">
        <v>130</v>
      </c>
      <c r="B779" s="19">
        <v>1694</v>
      </c>
      <c r="C779" s="19">
        <v>2</v>
      </c>
      <c r="D779" s="19">
        <v>2</v>
      </c>
      <c r="E779" s="23" t="s">
        <v>262</v>
      </c>
      <c r="F779" s="19" t="str">
        <f t="shared" si="3"/>
        <v>Medium</v>
      </c>
      <c r="G779" s="19">
        <v>1500000</v>
      </c>
      <c r="H779" s="19" t="str">
        <f>IF(' BENGALURU HOUSE PRICE'!$G779&lt;=500000,"Low",
IF(' BENGALURU HOUSE PRICE'!$G779&lt;=1000000,"Medium",
IF(' BENGALURU HOUSE PRICE'!$G779&lt;=3000000,"High","Luxury")))</f>
        <v>High</v>
      </c>
    </row>
    <row r="780" spans="1:8" ht="15.75" customHeight="1" x14ac:dyDescent="0.25">
      <c r="A780" s="19" t="s">
        <v>119</v>
      </c>
      <c r="B780" s="19">
        <v>2376</v>
      </c>
      <c r="C780" s="19">
        <v>3</v>
      </c>
      <c r="D780" s="19">
        <v>1</v>
      </c>
      <c r="E780" s="23" t="s">
        <v>27</v>
      </c>
      <c r="F780" s="19" t="str">
        <f t="shared" si="3"/>
        <v>Large</v>
      </c>
      <c r="G780" s="19">
        <v>2030000</v>
      </c>
      <c r="H780" s="19" t="str">
        <f>IF(' BENGALURU HOUSE PRICE'!$G780&lt;=500000,"Low",
IF(' BENGALURU HOUSE PRICE'!$G780&lt;=1000000,"Medium",
IF(' BENGALURU HOUSE PRICE'!$G780&lt;=3000000,"High","Luxury")))</f>
        <v>High</v>
      </c>
    </row>
    <row r="781" spans="1:8" ht="15.75" customHeight="1" x14ac:dyDescent="0.25">
      <c r="A781" s="19" t="s">
        <v>82</v>
      </c>
      <c r="B781" s="19">
        <v>1975</v>
      </c>
      <c r="C781" s="19">
        <v>3</v>
      </c>
      <c r="D781" s="19">
        <v>3</v>
      </c>
      <c r="E781" s="23" t="s">
        <v>27</v>
      </c>
      <c r="F781" s="19" t="str">
        <f t="shared" si="3"/>
        <v>Medium</v>
      </c>
      <c r="G781" s="19">
        <v>1500000</v>
      </c>
      <c r="H781" s="19" t="str">
        <f>IF(' BENGALURU HOUSE PRICE'!$G781&lt;=500000,"Low",
IF(' BENGALURU HOUSE PRICE'!$G781&lt;=1000000,"Medium",
IF(' BENGALURU HOUSE PRICE'!$G781&lt;=3000000,"High","Luxury")))</f>
        <v>High</v>
      </c>
    </row>
    <row r="782" spans="1:8" ht="15.75" customHeight="1" x14ac:dyDescent="0.25">
      <c r="A782" s="19" t="s">
        <v>142</v>
      </c>
      <c r="B782" s="19">
        <v>674</v>
      </c>
      <c r="C782" s="19">
        <v>2</v>
      </c>
      <c r="D782" s="19">
        <v>1</v>
      </c>
      <c r="E782" s="23" t="s">
        <v>262</v>
      </c>
      <c r="F782" s="19" t="str">
        <f t="shared" si="3"/>
        <v>Small</v>
      </c>
      <c r="G782" s="19">
        <v>330000</v>
      </c>
      <c r="H782" s="19" t="str">
        <f>IF(' BENGALURU HOUSE PRICE'!$G782&lt;=500000,"Low",
IF(' BENGALURU HOUSE PRICE'!$G782&lt;=1000000,"Medium",
IF(' BENGALURU HOUSE PRICE'!$G782&lt;=3000000,"High","Luxury")))</f>
        <v>Low</v>
      </c>
    </row>
    <row r="783" spans="1:8" ht="15.75" customHeight="1" x14ac:dyDescent="0.25">
      <c r="A783" s="19" t="s">
        <v>137</v>
      </c>
      <c r="B783" s="19">
        <v>1185</v>
      </c>
      <c r="C783" s="19">
        <v>2</v>
      </c>
      <c r="D783" s="19">
        <v>1</v>
      </c>
      <c r="E783" s="23" t="s">
        <v>262</v>
      </c>
      <c r="F783" s="19" t="str">
        <f t="shared" si="3"/>
        <v>Medium</v>
      </c>
      <c r="G783" s="19">
        <v>410000</v>
      </c>
      <c r="H783" s="19" t="str">
        <f>IF(' BENGALURU HOUSE PRICE'!$G783&lt;=500000,"Low",
IF(' BENGALURU HOUSE PRICE'!$G783&lt;=1000000,"Medium",
IF(' BENGALURU HOUSE PRICE'!$G783&lt;=3000000,"High","Luxury")))</f>
        <v>Low</v>
      </c>
    </row>
    <row r="784" spans="1:8" ht="15.75" customHeight="1" x14ac:dyDescent="0.25">
      <c r="A784" s="19" t="s">
        <v>23</v>
      </c>
      <c r="B784" s="19">
        <v>445</v>
      </c>
      <c r="C784" s="19">
        <v>1</v>
      </c>
      <c r="D784" s="19">
        <v>0</v>
      </c>
      <c r="E784" s="23" t="s">
        <v>267</v>
      </c>
      <c r="F784" s="19" t="str">
        <f t="shared" si="3"/>
        <v>Small</v>
      </c>
      <c r="G784" s="19">
        <v>280000</v>
      </c>
      <c r="H784" s="19" t="str">
        <f>IF(' BENGALURU HOUSE PRICE'!$G784&lt;=500000,"Low",
IF(' BENGALURU HOUSE PRICE'!$G784&lt;=1000000,"Medium",
IF(' BENGALURU HOUSE PRICE'!$G784&lt;=3000000,"High","Luxury")))</f>
        <v>Low</v>
      </c>
    </row>
    <row r="785" spans="1:8" ht="15.75" customHeight="1" x14ac:dyDescent="0.25">
      <c r="A785" s="19" t="s">
        <v>308</v>
      </c>
      <c r="B785" s="19">
        <v>900</v>
      </c>
      <c r="C785" s="19">
        <v>7</v>
      </c>
      <c r="D785" s="19">
        <v>2</v>
      </c>
      <c r="E785" s="23" t="s">
        <v>266</v>
      </c>
      <c r="F785" s="19" t="str">
        <f t="shared" si="3"/>
        <v>Small</v>
      </c>
      <c r="G785" s="19">
        <v>760000</v>
      </c>
      <c r="H785" s="19" t="str">
        <f>IF(' BENGALURU HOUSE PRICE'!$G785&lt;=500000,"Low",
IF(' BENGALURU HOUSE PRICE'!$G785&lt;=1000000,"Medium",
IF(' BENGALURU HOUSE PRICE'!$G785&lt;=3000000,"High","Luxury")))</f>
        <v>Medium</v>
      </c>
    </row>
    <row r="786" spans="1:8" ht="15.75" customHeight="1" x14ac:dyDescent="0.25">
      <c r="A786" s="19" t="s">
        <v>122</v>
      </c>
      <c r="B786" s="19">
        <v>1475</v>
      </c>
      <c r="C786" s="19">
        <v>3</v>
      </c>
      <c r="D786" s="19">
        <v>2</v>
      </c>
      <c r="E786" s="23" t="s">
        <v>27</v>
      </c>
      <c r="F786" s="19" t="str">
        <f t="shared" si="3"/>
        <v>Medium</v>
      </c>
      <c r="G786" s="19">
        <v>750000</v>
      </c>
      <c r="H786" s="19" t="str">
        <f>IF(' BENGALURU HOUSE PRICE'!$G786&lt;=500000,"Low",
IF(' BENGALURU HOUSE PRICE'!$G786&lt;=1000000,"Medium",
IF(' BENGALURU HOUSE PRICE'!$G786&lt;=3000000,"High","Luxury")))</f>
        <v>Medium</v>
      </c>
    </row>
    <row r="787" spans="1:8" ht="15.75" customHeight="1" x14ac:dyDescent="0.25">
      <c r="A787" s="19" t="s">
        <v>104</v>
      </c>
      <c r="B787" s="19">
        <v>1618</v>
      </c>
      <c r="C787" s="19">
        <v>3</v>
      </c>
      <c r="D787" s="19">
        <v>3</v>
      </c>
      <c r="E787" s="23" t="s">
        <v>27</v>
      </c>
      <c r="F787" s="19" t="str">
        <f t="shared" si="3"/>
        <v>Medium</v>
      </c>
      <c r="G787" s="19">
        <v>825000</v>
      </c>
      <c r="H787" s="19" t="str">
        <f>IF(' BENGALURU HOUSE PRICE'!$G787&lt;=500000,"Low",
IF(' BENGALURU HOUSE PRICE'!$G787&lt;=1000000,"Medium",
IF(' BENGALURU HOUSE PRICE'!$G787&lt;=3000000,"High","Luxury")))</f>
        <v>Medium</v>
      </c>
    </row>
    <row r="788" spans="1:8" ht="15.75" customHeight="1" x14ac:dyDescent="0.25">
      <c r="A788" s="19" t="s">
        <v>157</v>
      </c>
      <c r="B788" s="19">
        <v>1120</v>
      </c>
      <c r="C788" s="19">
        <v>2</v>
      </c>
      <c r="D788" s="19">
        <v>0</v>
      </c>
      <c r="E788" s="23" t="s">
        <v>262</v>
      </c>
      <c r="F788" s="19" t="str">
        <f t="shared" si="3"/>
        <v>Medium</v>
      </c>
      <c r="G788" s="19">
        <v>650000</v>
      </c>
      <c r="H788" s="19" t="str">
        <f>IF(' BENGALURU HOUSE PRICE'!$G788&lt;=500000,"Low",
IF(' BENGALURU HOUSE PRICE'!$G788&lt;=1000000,"Medium",
IF(' BENGALURU HOUSE PRICE'!$G788&lt;=3000000,"High","Luxury")))</f>
        <v>Medium</v>
      </c>
    </row>
    <row r="789" spans="1:8" ht="15.75" customHeight="1" x14ac:dyDescent="0.25">
      <c r="A789" s="19" t="s">
        <v>20</v>
      </c>
      <c r="B789" s="19">
        <v>2181</v>
      </c>
      <c r="C789" s="19">
        <v>3</v>
      </c>
      <c r="D789" s="19">
        <v>2</v>
      </c>
      <c r="E789" s="23" t="s">
        <v>264</v>
      </c>
      <c r="F789" s="19" t="str">
        <f t="shared" si="3"/>
        <v>Large</v>
      </c>
      <c r="G789" s="19">
        <v>1520000</v>
      </c>
      <c r="H789" s="19" t="str">
        <f>IF(' BENGALURU HOUSE PRICE'!$G789&lt;=500000,"Low",
IF(' BENGALURU HOUSE PRICE'!$G789&lt;=1000000,"Medium",
IF(' BENGALURU HOUSE PRICE'!$G789&lt;=3000000,"High","Luxury")))</f>
        <v>High</v>
      </c>
    </row>
    <row r="790" spans="1:8" ht="15.75" customHeight="1" x14ac:dyDescent="0.25">
      <c r="A790" s="19" t="s">
        <v>244</v>
      </c>
      <c r="B790" s="19">
        <v>1200</v>
      </c>
      <c r="C790" s="19">
        <v>4</v>
      </c>
      <c r="D790" s="19">
        <v>0</v>
      </c>
      <c r="E790" s="23" t="s">
        <v>264</v>
      </c>
      <c r="F790" s="19" t="str">
        <f t="shared" si="3"/>
        <v>Medium</v>
      </c>
      <c r="G790" s="19">
        <v>900000</v>
      </c>
      <c r="H790" s="19" t="str">
        <f>IF(' BENGALURU HOUSE PRICE'!$G790&lt;=500000,"Low",
IF(' BENGALURU HOUSE PRICE'!$G790&lt;=1000000,"Medium",
IF(' BENGALURU HOUSE PRICE'!$G790&lt;=3000000,"High","Luxury")))</f>
        <v>Medium</v>
      </c>
    </row>
    <row r="791" spans="1:8" ht="15.75" customHeight="1" x14ac:dyDescent="0.25">
      <c r="A791" s="19" t="s">
        <v>184</v>
      </c>
      <c r="B791" s="19">
        <v>600</v>
      </c>
      <c r="C791" s="19">
        <v>4</v>
      </c>
      <c r="D791" s="19">
        <v>3</v>
      </c>
      <c r="E791" s="23" t="s">
        <v>266</v>
      </c>
      <c r="F791" s="19" t="str">
        <f t="shared" si="3"/>
        <v>Small</v>
      </c>
      <c r="G791" s="19">
        <v>650000</v>
      </c>
      <c r="H791" s="19" t="str">
        <f>IF(' BENGALURU HOUSE PRICE'!$G791&lt;=500000,"Low",
IF(' BENGALURU HOUSE PRICE'!$G791&lt;=1000000,"Medium",
IF(' BENGALURU HOUSE PRICE'!$G791&lt;=3000000,"High","Luxury")))</f>
        <v>Medium</v>
      </c>
    </row>
    <row r="792" spans="1:8" ht="15.75" customHeight="1" x14ac:dyDescent="0.25">
      <c r="A792" s="19" t="s">
        <v>52</v>
      </c>
      <c r="B792" s="19">
        <v>1556</v>
      </c>
      <c r="C792" s="19">
        <v>2</v>
      </c>
      <c r="D792" s="19">
        <v>1</v>
      </c>
      <c r="E792" s="23" t="s">
        <v>27</v>
      </c>
      <c r="F792" s="19" t="str">
        <f t="shared" si="3"/>
        <v>Medium</v>
      </c>
      <c r="G792" s="19">
        <v>591300</v>
      </c>
      <c r="H792" s="19" t="str">
        <f>IF(' BENGALURU HOUSE PRICE'!$G792&lt;=500000,"Low",
IF(' BENGALURU HOUSE PRICE'!$G792&lt;=1000000,"Medium",
IF(' BENGALURU HOUSE PRICE'!$G792&lt;=3000000,"High","Luxury")))</f>
        <v>Medium</v>
      </c>
    </row>
    <row r="793" spans="1:8" ht="15.75" customHeight="1" x14ac:dyDescent="0.25">
      <c r="A793" s="19" t="s">
        <v>52</v>
      </c>
      <c r="B793" s="19">
        <v>1179</v>
      </c>
      <c r="C793" s="19">
        <v>2</v>
      </c>
      <c r="D793" s="19">
        <v>1</v>
      </c>
      <c r="E793" s="23" t="s">
        <v>262</v>
      </c>
      <c r="F793" s="19" t="str">
        <f t="shared" si="3"/>
        <v>Medium</v>
      </c>
      <c r="G793" s="19">
        <v>660200</v>
      </c>
      <c r="H793" s="19" t="str">
        <f>IF(' BENGALURU HOUSE PRICE'!$G793&lt;=500000,"Low",
IF(' BENGALURU HOUSE PRICE'!$G793&lt;=1000000,"Medium",
IF(' BENGALURU HOUSE PRICE'!$G793&lt;=3000000,"High","Luxury")))</f>
        <v>Medium</v>
      </c>
    </row>
    <row r="794" spans="1:8" ht="15.75" customHeight="1" x14ac:dyDescent="0.25">
      <c r="A794" s="19" t="s">
        <v>23</v>
      </c>
      <c r="B794" s="19">
        <v>1296</v>
      </c>
      <c r="C794" s="19">
        <v>2</v>
      </c>
      <c r="D794" s="19">
        <v>2</v>
      </c>
      <c r="E794" s="23" t="s">
        <v>262</v>
      </c>
      <c r="F794" s="19" t="str">
        <f t="shared" si="3"/>
        <v>Medium</v>
      </c>
      <c r="G794" s="19">
        <v>830000</v>
      </c>
      <c r="H794" s="19" t="str">
        <f>IF(' BENGALURU HOUSE PRICE'!$G794&lt;=500000,"Low",
IF(' BENGALURU HOUSE PRICE'!$G794&lt;=1000000,"Medium",
IF(' BENGALURU HOUSE PRICE'!$G794&lt;=3000000,"High","Luxury")))</f>
        <v>Medium</v>
      </c>
    </row>
    <row r="795" spans="1:8" ht="15.75" customHeight="1" x14ac:dyDescent="0.25">
      <c r="A795" s="19" t="s">
        <v>137</v>
      </c>
      <c r="B795" s="19">
        <v>1275</v>
      </c>
      <c r="C795" s="19">
        <v>2</v>
      </c>
      <c r="D795" s="19">
        <v>2</v>
      </c>
      <c r="E795" s="23" t="s">
        <v>262</v>
      </c>
      <c r="F795" s="19" t="str">
        <f t="shared" si="3"/>
        <v>Medium</v>
      </c>
      <c r="G795" s="19">
        <v>520000</v>
      </c>
      <c r="H795" s="19" t="str">
        <f>IF(' BENGALURU HOUSE PRICE'!$G795&lt;=500000,"Low",
IF(' BENGALURU HOUSE PRICE'!$G795&lt;=1000000,"Medium",
IF(' BENGALURU HOUSE PRICE'!$G795&lt;=3000000,"High","Luxury")))</f>
        <v>Medium</v>
      </c>
    </row>
    <row r="796" spans="1:8" ht="15.75" customHeight="1" x14ac:dyDescent="0.25">
      <c r="A796" s="19" t="s">
        <v>420</v>
      </c>
      <c r="B796" s="19">
        <v>1875</v>
      </c>
      <c r="C796" s="19">
        <v>2</v>
      </c>
      <c r="D796" s="19">
        <v>2</v>
      </c>
      <c r="E796" s="23" t="s">
        <v>290</v>
      </c>
      <c r="F796" s="19" t="str">
        <f t="shared" si="3"/>
        <v>Medium</v>
      </c>
      <c r="G796" s="19">
        <v>3000000</v>
      </c>
      <c r="H796" s="19" t="str">
        <f>IF(' BENGALURU HOUSE PRICE'!$G796&lt;=500000,"Low",
IF(' BENGALURU HOUSE PRICE'!$G796&lt;=1000000,"Medium",
IF(' BENGALURU HOUSE PRICE'!$G796&lt;=3000000,"High","Luxury")))</f>
        <v>High</v>
      </c>
    </row>
    <row r="797" spans="1:8" ht="15.75" customHeight="1" x14ac:dyDescent="0.25">
      <c r="A797" s="19" t="s">
        <v>147</v>
      </c>
      <c r="B797" s="19">
        <v>1400</v>
      </c>
      <c r="C797" s="19">
        <v>2</v>
      </c>
      <c r="D797" s="19">
        <v>2</v>
      </c>
      <c r="E797" s="23" t="s">
        <v>27</v>
      </c>
      <c r="F797" s="19" t="str">
        <f t="shared" si="3"/>
        <v>Medium</v>
      </c>
      <c r="G797" s="19">
        <v>770000</v>
      </c>
      <c r="H797" s="19" t="str">
        <f>IF(' BENGALURU HOUSE PRICE'!$G797&lt;=500000,"Low",
IF(' BENGALURU HOUSE PRICE'!$G797&lt;=1000000,"Medium",
IF(' BENGALURU HOUSE PRICE'!$G797&lt;=3000000,"High","Luxury")))</f>
        <v>Medium</v>
      </c>
    </row>
    <row r="798" spans="1:8" ht="15.75" customHeight="1" x14ac:dyDescent="0.25">
      <c r="A798" s="19" t="s">
        <v>104</v>
      </c>
      <c r="B798" s="19">
        <v>1222</v>
      </c>
      <c r="C798" s="19">
        <v>2</v>
      </c>
      <c r="D798" s="19">
        <v>1</v>
      </c>
      <c r="E798" s="23" t="s">
        <v>262</v>
      </c>
      <c r="F798" s="19" t="str">
        <f t="shared" si="3"/>
        <v>Medium</v>
      </c>
      <c r="G798" s="19">
        <v>630000</v>
      </c>
      <c r="H798" s="19" t="str">
        <f>IF(' BENGALURU HOUSE PRICE'!$G798&lt;=500000,"Low",
IF(' BENGALURU HOUSE PRICE'!$G798&lt;=1000000,"Medium",
IF(' BENGALURU HOUSE PRICE'!$G798&lt;=3000000,"High","Luxury")))</f>
        <v>Medium</v>
      </c>
    </row>
    <row r="799" spans="1:8" ht="15.75" customHeight="1" x14ac:dyDescent="0.25">
      <c r="A799" s="19" t="s">
        <v>16</v>
      </c>
      <c r="B799" s="19">
        <v>940</v>
      </c>
      <c r="C799" s="19">
        <v>2</v>
      </c>
      <c r="D799" s="19">
        <v>1</v>
      </c>
      <c r="E799" s="23" t="s">
        <v>262</v>
      </c>
      <c r="F799" s="19" t="str">
        <f t="shared" si="3"/>
        <v>Small</v>
      </c>
      <c r="G799" s="19">
        <v>410000</v>
      </c>
      <c r="H799" s="19" t="str">
        <f>IF(' BENGALURU HOUSE PRICE'!$G799&lt;=500000,"Low",
IF(' BENGALURU HOUSE PRICE'!$G799&lt;=1000000,"Medium",
IF(' BENGALURU HOUSE PRICE'!$G799&lt;=3000000,"High","Luxury")))</f>
        <v>Low</v>
      </c>
    </row>
    <row r="800" spans="1:8" ht="15.75" customHeight="1" x14ac:dyDescent="0.25">
      <c r="A800" s="19" t="s">
        <v>23</v>
      </c>
      <c r="B800" s="19">
        <v>1185</v>
      </c>
      <c r="C800" s="19">
        <v>2</v>
      </c>
      <c r="D800" s="19">
        <v>2</v>
      </c>
      <c r="E800" s="23" t="s">
        <v>262</v>
      </c>
      <c r="F800" s="19" t="str">
        <f t="shared" si="3"/>
        <v>Medium</v>
      </c>
      <c r="G800" s="19">
        <v>426000</v>
      </c>
      <c r="H800" s="19" t="str">
        <f>IF(' BENGALURU HOUSE PRICE'!$G800&lt;=500000,"Low",
IF(' BENGALURU HOUSE PRICE'!$G800&lt;=1000000,"Medium",
IF(' BENGALURU HOUSE PRICE'!$G800&lt;=3000000,"High","Luxury")))</f>
        <v>Low</v>
      </c>
    </row>
    <row r="801" spans="1:8" ht="15.75" customHeight="1" x14ac:dyDescent="0.25">
      <c r="A801" s="19" t="s">
        <v>235</v>
      </c>
      <c r="B801" s="19">
        <v>1779</v>
      </c>
      <c r="C801" s="19">
        <v>3</v>
      </c>
      <c r="D801" s="19">
        <v>2</v>
      </c>
      <c r="E801" s="23" t="s">
        <v>27</v>
      </c>
      <c r="F801" s="19" t="str">
        <f t="shared" si="3"/>
        <v>Medium</v>
      </c>
      <c r="G801" s="19">
        <v>1120000</v>
      </c>
      <c r="H801" s="19" t="str">
        <f>IF(' BENGALURU HOUSE PRICE'!$G801&lt;=500000,"Low",
IF(' BENGALURU HOUSE PRICE'!$G801&lt;=1000000,"Medium",
IF(' BENGALURU HOUSE PRICE'!$G801&lt;=3000000,"High","Luxury")))</f>
        <v>High</v>
      </c>
    </row>
    <row r="802" spans="1:8" ht="15.75" customHeight="1" x14ac:dyDescent="0.25">
      <c r="A802" s="19" t="s">
        <v>58</v>
      </c>
      <c r="B802" s="19">
        <v>1615</v>
      </c>
      <c r="C802" s="19">
        <v>3</v>
      </c>
      <c r="D802" s="19">
        <v>2</v>
      </c>
      <c r="E802" s="23" t="s">
        <v>27</v>
      </c>
      <c r="F802" s="19" t="str">
        <f t="shared" si="3"/>
        <v>Medium</v>
      </c>
      <c r="G802" s="19">
        <v>597600</v>
      </c>
      <c r="H802" s="19" t="str">
        <f>IF(' BENGALURU HOUSE PRICE'!$G802&lt;=500000,"Low",
IF(' BENGALURU HOUSE PRICE'!$G802&lt;=1000000,"Medium",
IF(' BENGALURU HOUSE PRICE'!$G802&lt;=3000000,"High","Luxury")))</f>
        <v>Medium</v>
      </c>
    </row>
    <row r="803" spans="1:8" ht="15.75" customHeight="1" x14ac:dyDescent="0.25">
      <c r="A803" s="19" t="s">
        <v>134</v>
      </c>
      <c r="B803" s="19">
        <v>1559</v>
      </c>
      <c r="C803" s="19">
        <v>2</v>
      </c>
      <c r="D803" s="19">
        <v>2</v>
      </c>
      <c r="E803" s="23" t="s">
        <v>264</v>
      </c>
      <c r="F803" s="19" t="str">
        <f t="shared" si="3"/>
        <v>Medium</v>
      </c>
      <c r="G803" s="19">
        <v>4530000</v>
      </c>
      <c r="H803" s="19" t="str">
        <f>IF(' BENGALURU HOUSE PRICE'!$G803&lt;=500000,"Low",
IF(' BENGALURU HOUSE PRICE'!$G803&lt;=1000000,"Medium",
IF(' BENGALURU HOUSE PRICE'!$G803&lt;=3000000,"High","Luxury")))</f>
        <v>Luxury</v>
      </c>
    </row>
    <row r="804" spans="1:8" ht="15.75" customHeight="1" x14ac:dyDescent="0.25">
      <c r="A804" s="19" t="s">
        <v>17</v>
      </c>
      <c r="B804" s="19">
        <v>1056</v>
      </c>
      <c r="C804" s="19">
        <v>2</v>
      </c>
      <c r="D804" s="19">
        <v>1</v>
      </c>
      <c r="E804" s="23" t="s">
        <v>262</v>
      </c>
      <c r="F804" s="19" t="str">
        <f t="shared" si="3"/>
        <v>Medium</v>
      </c>
      <c r="G804" s="19">
        <v>610000</v>
      </c>
      <c r="H804" s="19" t="str">
        <f>IF(' BENGALURU HOUSE PRICE'!$G804&lt;=500000,"Low",
IF(' BENGALURU HOUSE PRICE'!$G804&lt;=1000000,"Medium",
IF(' BENGALURU HOUSE PRICE'!$G804&lt;=3000000,"High","Luxury")))</f>
        <v>Medium</v>
      </c>
    </row>
    <row r="805" spans="1:8" ht="15.75" customHeight="1" x14ac:dyDescent="0.25">
      <c r="A805" s="19" t="s">
        <v>15</v>
      </c>
      <c r="B805" s="19">
        <v>1100</v>
      </c>
      <c r="C805" s="19">
        <v>2</v>
      </c>
      <c r="D805" s="19">
        <v>0</v>
      </c>
      <c r="E805" s="23" t="s">
        <v>262</v>
      </c>
      <c r="F805" s="19" t="str">
        <f t="shared" si="3"/>
        <v>Medium</v>
      </c>
      <c r="G805" s="19">
        <v>460000</v>
      </c>
      <c r="H805" s="19" t="str">
        <f>IF(' BENGALURU HOUSE PRICE'!$G805&lt;=500000,"Low",
IF(' BENGALURU HOUSE PRICE'!$G805&lt;=1000000,"Medium",
IF(' BENGALURU HOUSE PRICE'!$G805&lt;=3000000,"High","Luxury")))</f>
        <v>Low</v>
      </c>
    </row>
    <row r="806" spans="1:8" ht="15.75" customHeight="1" x14ac:dyDescent="0.25">
      <c r="A806" s="19" t="s">
        <v>42</v>
      </c>
      <c r="B806" s="19">
        <v>920</v>
      </c>
      <c r="C806" s="19">
        <v>2</v>
      </c>
      <c r="D806" s="19">
        <v>1</v>
      </c>
      <c r="E806" s="23" t="s">
        <v>262</v>
      </c>
      <c r="F806" s="19" t="str">
        <f t="shared" si="3"/>
        <v>Small</v>
      </c>
      <c r="G806" s="19">
        <v>400000</v>
      </c>
      <c r="H806" s="19" t="str">
        <f>IF(' BENGALURU HOUSE PRICE'!$G806&lt;=500000,"Low",
IF(' BENGALURU HOUSE PRICE'!$G806&lt;=1000000,"Medium",
IF(' BENGALURU HOUSE PRICE'!$G806&lt;=3000000,"High","Luxury")))</f>
        <v>Low</v>
      </c>
    </row>
    <row r="807" spans="1:8" ht="15.75" customHeight="1" x14ac:dyDescent="0.25">
      <c r="A807" s="19" t="s">
        <v>126</v>
      </c>
      <c r="B807" s="19">
        <v>1602</v>
      </c>
      <c r="C807" s="19">
        <v>2</v>
      </c>
      <c r="D807" s="19">
        <v>0</v>
      </c>
      <c r="E807" s="23" t="s">
        <v>27</v>
      </c>
      <c r="F807" s="19" t="str">
        <f t="shared" si="3"/>
        <v>Medium</v>
      </c>
      <c r="G807" s="19">
        <v>750000</v>
      </c>
      <c r="H807" s="19" t="str">
        <f>IF(' BENGALURU HOUSE PRICE'!$G807&lt;=500000,"Low",
IF(' BENGALURU HOUSE PRICE'!$G807&lt;=1000000,"Medium",
IF(' BENGALURU HOUSE PRICE'!$G807&lt;=3000000,"High","Luxury")))</f>
        <v>Medium</v>
      </c>
    </row>
    <row r="808" spans="1:8" ht="15.75" customHeight="1" x14ac:dyDescent="0.25">
      <c r="A808" s="19" t="s">
        <v>305</v>
      </c>
      <c r="B808" s="19">
        <v>1176</v>
      </c>
      <c r="C808" s="19">
        <v>2</v>
      </c>
      <c r="D808" s="19">
        <v>0</v>
      </c>
      <c r="E808" s="23" t="s">
        <v>262</v>
      </c>
      <c r="F808" s="19" t="str">
        <f t="shared" si="3"/>
        <v>Medium</v>
      </c>
      <c r="G808" s="19">
        <v>620000</v>
      </c>
      <c r="H808" s="19" t="str">
        <f>IF(' BENGALURU HOUSE PRICE'!$G808&lt;=500000,"Low",
IF(' BENGALURU HOUSE PRICE'!$G808&lt;=1000000,"Medium",
IF(' BENGALURU HOUSE PRICE'!$G808&lt;=3000000,"High","Luxury")))</f>
        <v>Medium</v>
      </c>
    </row>
    <row r="809" spans="1:8" ht="15.75" customHeight="1" x14ac:dyDescent="0.25">
      <c r="A809" s="19" t="s">
        <v>421</v>
      </c>
      <c r="B809" s="19">
        <v>675</v>
      </c>
      <c r="C809" s="19">
        <v>3</v>
      </c>
      <c r="D809" s="19">
        <v>1</v>
      </c>
      <c r="E809" s="23" t="s">
        <v>264</v>
      </c>
      <c r="F809" s="19" t="str">
        <f t="shared" si="3"/>
        <v>Small</v>
      </c>
      <c r="G809" s="19">
        <v>590000</v>
      </c>
      <c r="H809" s="19" t="str">
        <f>IF(' BENGALURU HOUSE PRICE'!$G809&lt;=500000,"Low",
IF(' BENGALURU HOUSE PRICE'!$G809&lt;=1000000,"Medium",
IF(' BENGALURU HOUSE PRICE'!$G809&lt;=3000000,"High","Luxury")))</f>
        <v>Medium</v>
      </c>
    </row>
    <row r="810" spans="1:8" ht="15.75" customHeight="1" x14ac:dyDescent="0.25">
      <c r="A810" s="19" t="s">
        <v>202</v>
      </c>
      <c r="B810" s="19">
        <v>1352</v>
      </c>
      <c r="C810" s="19">
        <v>3</v>
      </c>
      <c r="D810" s="19">
        <v>0</v>
      </c>
      <c r="E810" s="23" t="s">
        <v>27</v>
      </c>
      <c r="F810" s="19" t="str">
        <f t="shared" si="3"/>
        <v>Medium</v>
      </c>
      <c r="G810" s="19">
        <v>1350000</v>
      </c>
      <c r="H810" s="19" t="str">
        <f>IF(' BENGALURU HOUSE PRICE'!$G810&lt;=500000,"Low",
IF(' BENGALURU HOUSE PRICE'!$G810&lt;=1000000,"Medium",
IF(' BENGALURU HOUSE PRICE'!$G810&lt;=3000000,"High","Luxury")))</f>
        <v>High</v>
      </c>
    </row>
    <row r="811" spans="1:8" ht="15.75" customHeight="1" x14ac:dyDescent="0.25">
      <c r="A811" s="19" t="s">
        <v>145</v>
      </c>
      <c r="B811" s="19">
        <v>1717</v>
      </c>
      <c r="C811" s="19">
        <v>3</v>
      </c>
      <c r="D811" s="19">
        <v>3</v>
      </c>
      <c r="E811" s="23" t="s">
        <v>27</v>
      </c>
      <c r="F811" s="19" t="str">
        <f t="shared" si="3"/>
        <v>Medium</v>
      </c>
      <c r="G811" s="19">
        <v>990000</v>
      </c>
      <c r="H811" s="19" t="str">
        <f>IF(' BENGALURU HOUSE PRICE'!$G811&lt;=500000,"Low",
IF(' BENGALURU HOUSE PRICE'!$G811&lt;=1000000,"Medium",
IF(' BENGALURU HOUSE PRICE'!$G811&lt;=3000000,"High","Luxury")))</f>
        <v>Medium</v>
      </c>
    </row>
    <row r="812" spans="1:8" ht="15.75" customHeight="1" x14ac:dyDescent="0.25">
      <c r="A812" s="19" t="s">
        <v>422</v>
      </c>
      <c r="B812" s="19">
        <v>10961</v>
      </c>
      <c r="C812" s="19">
        <v>4</v>
      </c>
      <c r="D812" s="19">
        <v>1</v>
      </c>
      <c r="E812" s="23" t="s">
        <v>264</v>
      </c>
      <c r="F812" s="19" t="str">
        <f t="shared" si="3"/>
        <v>Large</v>
      </c>
      <c r="G812" s="19">
        <v>800000</v>
      </c>
      <c r="H812" s="19" t="str">
        <f>IF(' BENGALURU HOUSE PRICE'!$G812&lt;=500000,"Low",
IF(' BENGALURU HOUSE PRICE'!$G812&lt;=1000000,"Medium",
IF(' BENGALURU HOUSE PRICE'!$G812&lt;=3000000,"High","Luxury")))</f>
        <v>Medium</v>
      </c>
    </row>
    <row r="813" spans="1:8" ht="15.75" customHeight="1" x14ac:dyDescent="0.25">
      <c r="A813" s="19" t="s">
        <v>62</v>
      </c>
      <c r="B813" s="19">
        <v>2119</v>
      </c>
      <c r="C813" s="19">
        <v>4</v>
      </c>
      <c r="D813" s="19">
        <v>3</v>
      </c>
      <c r="E813" s="23" t="s">
        <v>264</v>
      </c>
      <c r="F813" s="19" t="str">
        <f t="shared" si="3"/>
        <v>Large</v>
      </c>
      <c r="G813" s="19">
        <v>1110000</v>
      </c>
      <c r="H813" s="19" t="str">
        <f>IF(' BENGALURU HOUSE PRICE'!$G813&lt;=500000,"Low",
IF(' BENGALURU HOUSE PRICE'!$G813&lt;=1000000,"Medium",
IF(' BENGALURU HOUSE PRICE'!$G813&lt;=3000000,"High","Luxury")))</f>
        <v>High</v>
      </c>
    </row>
    <row r="814" spans="1:8" ht="15.75" customHeight="1" x14ac:dyDescent="0.25">
      <c r="A814" s="19" t="s">
        <v>348</v>
      </c>
      <c r="B814" s="19">
        <v>1246</v>
      </c>
      <c r="C814" s="19">
        <v>2</v>
      </c>
      <c r="D814" s="19">
        <v>1</v>
      </c>
      <c r="E814" s="23" t="s">
        <v>262</v>
      </c>
      <c r="F814" s="19" t="str">
        <f t="shared" si="3"/>
        <v>Medium</v>
      </c>
      <c r="G814" s="19">
        <v>673000</v>
      </c>
      <c r="H814" s="19" t="str">
        <f>IF(' BENGALURU HOUSE PRICE'!$G814&lt;=500000,"Low",
IF(' BENGALURU HOUSE PRICE'!$G814&lt;=1000000,"Medium",
IF(' BENGALURU HOUSE PRICE'!$G814&lt;=3000000,"High","Luxury")))</f>
        <v>Medium</v>
      </c>
    </row>
    <row r="815" spans="1:8" ht="15.75" customHeight="1" x14ac:dyDescent="0.25">
      <c r="A815" s="19" t="s">
        <v>293</v>
      </c>
      <c r="B815" s="19">
        <v>1141</v>
      </c>
      <c r="C815" s="19">
        <v>2</v>
      </c>
      <c r="D815" s="19">
        <v>1</v>
      </c>
      <c r="E815" s="23" t="s">
        <v>262</v>
      </c>
      <c r="F815" s="19" t="str">
        <f t="shared" si="3"/>
        <v>Medium</v>
      </c>
      <c r="G815" s="19">
        <v>427900</v>
      </c>
      <c r="H815" s="19" t="str">
        <f>IF(' BENGALURU HOUSE PRICE'!$G815&lt;=500000,"Low",
IF(' BENGALURU HOUSE PRICE'!$G815&lt;=1000000,"Medium",
IF(' BENGALURU HOUSE PRICE'!$G815&lt;=3000000,"High","Luxury")))</f>
        <v>Low</v>
      </c>
    </row>
    <row r="816" spans="1:8" ht="15.75" customHeight="1" x14ac:dyDescent="0.25">
      <c r="A816" s="19" t="s">
        <v>111</v>
      </c>
      <c r="B816" s="19">
        <v>1157</v>
      </c>
      <c r="C816" s="19">
        <v>2</v>
      </c>
      <c r="D816" s="19">
        <v>1</v>
      </c>
      <c r="E816" s="23" t="s">
        <v>262</v>
      </c>
      <c r="F816" s="19" t="str">
        <f t="shared" si="3"/>
        <v>Medium</v>
      </c>
      <c r="G816" s="19">
        <v>840000</v>
      </c>
      <c r="H816" s="19" t="str">
        <f>IF(' BENGALURU HOUSE PRICE'!$G816&lt;=500000,"Low",
IF(' BENGALURU HOUSE PRICE'!$G816&lt;=1000000,"Medium",
IF(' BENGALURU HOUSE PRICE'!$G816&lt;=3000000,"High","Luxury")))</f>
        <v>Medium</v>
      </c>
    </row>
    <row r="817" spans="1:8" ht="15.75" customHeight="1" x14ac:dyDescent="0.25">
      <c r="A817" s="19" t="s">
        <v>74</v>
      </c>
      <c r="B817" s="19">
        <v>1025</v>
      </c>
      <c r="C817" s="19">
        <v>2</v>
      </c>
      <c r="D817" s="19">
        <v>2</v>
      </c>
      <c r="E817" s="23" t="s">
        <v>262</v>
      </c>
      <c r="F817" s="19" t="str">
        <f t="shared" si="3"/>
        <v>Medium</v>
      </c>
      <c r="G817" s="19">
        <v>276800</v>
      </c>
      <c r="H817" s="19" t="str">
        <f>IF(' BENGALURU HOUSE PRICE'!$G817&lt;=500000,"Low",
IF(' BENGALURU HOUSE PRICE'!$G817&lt;=1000000,"Medium",
IF(' BENGALURU HOUSE PRICE'!$G817&lt;=3000000,"High","Luxury")))</f>
        <v>Low</v>
      </c>
    </row>
    <row r="818" spans="1:8" ht="15.75" customHeight="1" x14ac:dyDescent="0.25">
      <c r="A818" s="19" t="s">
        <v>423</v>
      </c>
      <c r="B818" s="19">
        <v>650</v>
      </c>
      <c r="C818" s="19">
        <v>1</v>
      </c>
      <c r="D818" s="19">
        <v>2</v>
      </c>
      <c r="E818" s="23" t="s">
        <v>267</v>
      </c>
      <c r="F818" s="19" t="str">
        <f t="shared" si="3"/>
        <v>Small</v>
      </c>
      <c r="G818" s="19">
        <v>330000</v>
      </c>
      <c r="H818" s="19" t="str">
        <f>IF(' BENGALURU HOUSE PRICE'!$G818&lt;=500000,"Low",
IF(' BENGALURU HOUSE PRICE'!$G818&lt;=1000000,"Medium",
IF(' BENGALURU HOUSE PRICE'!$G818&lt;=3000000,"High","Luxury")))</f>
        <v>Low</v>
      </c>
    </row>
    <row r="819" spans="1:8" ht="15.75" customHeight="1" x14ac:dyDescent="0.25">
      <c r="A819" s="19" t="s">
        <v>18</v>
      </c>
      <c r="B819" s="19">
        <v>1349</v>
      </c>
      <c r="C819" s="19">
        <v>2</v>
      </c>
      <c r="D819" s="19">
        <v>1</v>
      </c>
      <c r="E819" s="23" t="s">
        <v>262</v>
      </c>
      <c r="F819" s="19" t="str">
        <f t="shared" si="3"/>
        <v>Medium</v>
      </c>
      <c r="G819" s="19">
        <v>980000</v>
      </c>
      <c r="H819" s="19" t="str">
        <f>IF(' BENGALURU HOUSE PRICE'!$G819&lt;=500000,"Low",
IF(' BENGALURU HOUSE PRICE'!$G819&lt;=1000000,"Medium",
IF(' BENGALURU HOUSE PRICE'!$G819&lt;=3000000,"High","Luxury")))</f>
        <v>Medium</v>
      </c>
    </row>
    <row r="820" spans="1:8" ht="15.75" customHeight="1" x14ac:dyDescent="0.25">
      <c r="A820" s="19" t="s">
        <v>185</v>
      </c>
      <c r="B820" s="19">
        <v>1566</v>
      </c>
      <c r="C820" s="19">
        <v>3</v>
      </c>
      <c r="D820" s="19">
        <v>1</v>
      </c>
      <c r="E820" s="23" t="s">
        <v>27</v>
      </c>
      <c r="F820" s="19" t="str">
        <f t="shared" si="3"/>
        <v>Medium</v>
      </c>
      <c r="G820" s="19">
        <v>833000</v>
      </c>
      <c r="H820" s="19" t="str">
        <f>IF(' BENGALURU HOUSE PRICE'!$G820&lt;=500000,"Low",
IF(' BENGALURU HOUSE PRICE'!$G820&lt;=1000000,"Medium",
IF(' BENGALURU HOUSE PRICE'!$G820&lt;=3000000,"High","Luxury")))</f>
        <v>Medium</v>
      </c>
    </row>
    <row r="821" spans="1:8" ht="15.75" customHeight="1" x14ac:dyDescent="0.25">
      <c r="A821" s="19" t="s">
        <v>207</v>
      </c>
      <c r="B821" s="19">
        <v>2830</v>
      </c>
      <c r="C821" s="19">
        <v>3</v>
      </c>
      <c r="D821" s="19">
        <v>3</v>
      </c>
      <c r="E821" s="23" t="s">
        <v>264</v>
      </c>
      <c r="F821" s="19" t="str">
        <f t="shared" si="3"/>
        <v>Large</v>
      </c>
      <c r="G821" s="19">
        <v>1950000</v>
      </c>
      <c r="H821" s="19" t="str">
        <f>IF(' BENGALURU HOUSE PRICE'!$G821&lt;=500000,"Low",
IF(' BENGALURU HOUSE PRICE'!$G821&lt;=1000000,"Medium",
IF(' BENGALURU HOUSE PRICE'!$G821&lt;=3000000,"High","Luxury")))</f>
        <v>High</v>
      </c>
    </row>
    <row r="822" spans="1:8" ht="15.75" customHeight="1" x14ac:dyDescent="0.25">
      <c r="A822" s="19" t="s">
        <v>16</v>
      </c>
      <c r="B822" s="19">
        <v>1320</v>
      </c>
      <c r="C822" s="19">
        <v>2</v>
      </c>
      <c r="D822" s="19">
        <v>1</v>
      </c>
      <c r="E822" s="23" t="s">
        <v>27</v>
      </c>
      <c r="F822" s="19" t="str">
        <f t="shared" si="3"/>
        <v>Medium</v>
      </c>
      <c r="G822" s="19">
        <v>381300</v>
      </c>
      <c r="H822" s="19" t="str">
        <f>IF(' BENGALURU HOUSE PRICE'!$G822&lt;=500000,"Low",
IF(' BENGALURU HOUSE PRICE'!$G822&lt;=1000000,"Medium",
IF(' BENGALURU HOUSE PRICE'!$G822&lt;=3000000,"High","Luxury")))</f>
        <v>Low</v>
      </c>
    </row>
    <row r="823" spans="1:8" ht="15.75" customHeight="1" x14ac:dyDescent="0.25">
      <c r="A823" s="19" t="s">
        <v>175</v>
      </c>
      <c r="B823" s="19">
        <v>1780</v>
      </c>
      <c r="C823" s="19">
        <v>3</v>
      </c>
      <c r="D823" s="19">
        <v>1</v>
      </c>
      <c r="E823" s="23" t="s">
        <v>27</v>
      </c>
      <c r="F823" s="19" t="str">
        <f t="shared" si="3"/>
        <v>Medium</v>
      </c>
      <c r="G823" s="19">
        <v>848300</v>
      </c>
      <c r="H823" s="19" t="str">
        <f>IF(' BENGALURU HOUSE PRICE'!$G823&lt;=500000,"Low",
IF(' BENGALURU HOUSE PRICE'!$G823&lt;=1000000,"Medium",
IF(' BENGALURU HOUSE PRICE'!$G823&lt;=3000000,"High","Luxury")))</f>
        <v>Medium</v>
      </c>
    </row>
    <row r="824" spans="1:8" ht="15.75" customHeight="1" x14ac:dyDescent="0.25">
      <c r="A824" s="19" t="s">
        <v>240</v>
      </c>
      <c r="B824" s="19">
        <v>1091</v>
      </c>
      <c r="C824" s="19">
        <v>2</v>
      </c>
      <c r="D824" s="19">
        <v>1</v>
      </c>
      <c r="E824" s="23" t="s">
        <v>262</v>
      </c>
      <c r="F824" s="19" t="str">
        <f t="shared" si="3"/>
        <v>Medium</v>
      </c>
      <c r="G824" s="19">
        <v>349000</v>
      </c>
      <c r="H824" s="19" t="str">
        <f>IF(' BENGALURU HOUSE PRICE'!$G824&lt;=500000,"Low",
IF(' BENGALURU HOUSE PRICE'!$G824&lt;=1000000,"Medium",
IF(' BENGALURU HOUSE PRICE'!$G824&lt;=3000000,"High","Luxury")))</f>
        <v>Low</v>
      </c>
    </row>
    <row r="825" spans="1:8" ht="15.75" customHeight="1" x14ac:dyDescent="0.25">
      <c r="A825" s="19" t="s">
        <v>196</v>
      </c>
      <c r="B825" s="19">
        <v>3670</v>
      </c>
      <c r="C825" s="19">
        <v>4</v>
      </c>
      <c r="D825" s="19">
        <v>3</v>
      </c>
      <c r="E825" s="23" t="s">
        <v>264</v>
      </c>
      <c r="F825" s="19" t="str">
        <f t="shared" si="3"/>
        <v>Large</v>
      </c>
      <c r="G825" s="19">
        <v>3000000</v>
      </c>
      <c r="H825" s="19" t="str">
        <f>IF(' BENGALURU HOUSE PRICE'!$G825&lt;=500000,"Low",
IF(' BENGALURU HOUSE PRICE'!$G825&lt;=1000000,"Medium",
IF(' BENGALURU HOUSE PRICE'!$G825&lt;=3000000,"High","Luxury")))</f>
        <v>High</v>
      </c>
    </row>
    <row r="826" spans="1:8" ht="15.75" customHeight="1" x14ac:dyDescent="0.25">
      <c r="A826" s="19" t="s">
        <v>15</v>
      </c>
      <c r="B826" s="19">
        <v>918</v>
      </c>
      <c r="C826" s="19">
        <v>2</v>
      </c>
      <c r="D826" s="19">
        <v>1</v>
      </c>
      <c r="E826" s="23" t="s">
        <v>262</v>
      </c>
      <c r="F826" s="19" t="str">
        <f t="shared" si="3"/>
        <v>Small</v>
      </c>
      <c r="G826" s="19">
        <v>504900</v>
      </c>
      <c r="H826" s="19" t="str">
        <f>IF(' BENGALURU HOUSE PRICE'!$G826&lt;=500000,"Low",
IF(' BENGALURU HOUSE PRICE'!$G826&lt;=1000000,"Medium",
IF(' BENGALURU HOUSE PRICE'!$G826&lt;=3000000,"High","Luxury")))</f>
        <v>Medium</v>
      </c>
    </row>
    <row r="827" spans="1:8" ht="15.75" customHeight="1" x14ac:dyDescent="0.25">
      <c r="A827" s="19" t="s">
        <v>250</v>
      </c>
      <c r="B827" s="19">
        <v>1950</v>
      </c>
      <c r="C827" s="19">
        <v>4</v>
      </c>
      <c r="D827" s="19">
        <v>0</v>
      </c>
      <c r="E827" s="23" t="s">
        <v>264</v>
      </c>
      <c r="F827" s="19" t="str">
        <f t="shared" si="3"/>
        <v>Medium</v>
      </c>
      <c r="G827" s="19">
        <v>1300000</v>
      </c>
      <c r="H827" s="19" t="str">
        <f>IF(' BENGALURU HOUSE PRICE'!$G827&lt;=500000,"Low",
IF(' BENGALURU HOUSE PRICE'!$G827&lt;=1000000,"Medium",
IF(' BENGALURU HOUSE PRICE'!$G827&lt;=3000000,"High","Luxury")))</f>
        <v>High</v>
      </c>
    </row>
    <row r="828" spans="1:8" ht="15.75" customHeight="1" x14ac:dyDescent="0.25">
      <c r="A828" s="19" t="s">
        <v>192</v>
      </c>
      <c r="B828" s="19">
        <v>1695</v>
      </c>
      <c r="C828" s="19">
        <v>3</v>
      </c>
      <c r="D828" s="19">
        <v>1</v>
      </c>
      <c r="E828" s="23" t="s">
        <v>27</v>
      </c>
      <c r="F828" s="19" t="str">
        <f t="shared" si="3"/>
        <v>Medium</v>
      </c>
      <c r="G828" s="19">
        <v>900000</v>
      </c>
      <c r="H828" s="19" t="str">
        <f>IF(' BENGALURU HOUSE PRICE'!$G828&lt;=500000,"Low",
IF(' BENGALURU HOUSE PRICE'!$G828&lt;=1000000,"Medium",
IF(' BENGALURU HOUSE PRICE'!$G828&lt;=3000000,"High","Luxury")))</f>
        <v>Medium</v>
      </c>
    </row>
    <row r="829" spans="1:8" ht="15.75" customHeight="1" x14ac:dyDescent="0.25">
      <c r="A829" s="19" t="s">
        <v>26</v>
      </c>
      <c r="B829" s="19">
        <v>1705</v>
      </c>
      <c r="C829" s="19">
        <v>3</v>
      </c>
      <c r="D829" s="19">
        <v>2</v>
      </c>
      <c r="E829" s="23" t="s">
        <v>27</v>
      </c>
      <c r="F829" s="19" t="str">
        <f t="shared" si="3"/>
        <v>Medium</v>
      </c>
      <c r="G829" s="19">
        <v>950000</v>
      </c>
      <c r="H829" s="19" t="str">
        <f>IF(' BENGALURU HOUSE PRICE'!$G829&lt;=500000,"Low",
IF(' BENGALURU HOUSE PRICE'!$G829&lt;=1000000,"Medium",
IF(' BENGALURU HOUSE PRICE'!$G829&lt;=3000000,"High","Luxury")))</f>
        <v>Medium</v>
      </c>
    </row>
    <row r="830" spans="1:8" ht="15.75" customHeight="1" x14ac:dyDescent="0.25">
      <c r="A830" s="19" t="s">
        <v>140</v>
      </c>
      <c r="B830" s="19">
        <v>1375</v>
      </c>
      <c r="C830" s="19">
        <v>3</v>
      </c>
      <c r="D830" s="19">
        <v>2</v>
      </c>
      <c r="E830" s="23" t="s">
        <v>27</v>
      </c>
      <c r="F830" s="19" t="str">
        <f t="shared" si="3"/>
        <v>Medium</v>
      </c>
      <c r="G830" s="19">
        <v>750000</v>
      </c>
      <c r="H830" s="19" t="str">
        <f>IF(' BENGALURU HOUSE PRICE'!$G830&lt;=500000,"Low",
IF(' BENGALURU HOUSE PRICE'!$G830&lt;=1000000,"Medium",
IF(' BENGALURU HOUSE PRICE'!$G830&lt;=3000000,"High","Luxury")))</f>
        <v>Medium</v>
      </c>
    </row>
    <row r="831" spans="1:8" ht="15.75" customHeight="1" x14ac:dyDescent="0.25">
      <c r="A831" s="19" t="s">
        <v>19</v>
      </c>
      <c r="B831" s="19">
        <v>525</v>
      </c>
      <c r="C831" s="19">
        <v>1</v>
      </c>
      <c r="D831" s="19">
        <v>1</v>
      </c>
      <c r="E831" s="23" t="s">
        <v>267</v>
      </c>
      <c r="F831" s="19" t="str">
        <f t="shared" si="3"/>
        <v>Small</v>
      </c>
      <c r="G831" s="19">
        <v>300000</v>
      </c>
      <c r="H831" s="19" t="str">
        <f>IF(' BENGALURU HOUSE PRICE'!$G831&lt;=500000,"Low",
IF(' BENGALURU HOUSE PRICE'!$G831&lt;=1000000,"Medium",
IF(' BENGALURU HOUSE PRICE'!$G831&lt;=3000000,"High","Luxury")))</f>
        <v>Low</v>
      </c>
    </row>
    <row r="832" spans="1:8" ht="15.75" customHeight="1" x14ac:dyDescent="0.25">
      <c r="A832" s="19" t="s">
        <v>25</v>
      </c>
      <c r="B832" s="19">
        <v>1447</v>
      </c>
      <c r="C832" s="19">
        <v>2</v>
      </c>
      <c r="D832" s="19">
        <v>1</v>
      </c>
      <c r="E832" s="23" t="s">
        <v>262</v>
      </c>
      <c r="F832" s="19" t="str">
        <f t="shared" si="3"/>
        <v>Medium</v>
      </c>
      <c r="G832" s="19">
        <v>830000</v>
      </c>
      <c r="H832" s="19" t="str">
        <f>IF(' BENGALURU HOUSE PRICE'!$G832&lt;=500000,"Low",
IF(' BENGALURU HOUSE PRICE'!$G832&lt;=1000000,"Medium",
IF(' BENGALURU HOUSE PRICE'!$G832&lt;=3000000,"High","Luxury")))</f>
        <v>Medium</v>
      </c>
    </row>
    <row r="833" spans="1:8" ht="15.75" customHeight="1" x14ac:dyDescent="0.25">
      <c r="A833" s="19" t="s">
        <v>23</v>
      </c>
      <c r="B833" s="19">
        <v>1114</v>
      </c>
      <c r="C833" s="19">
        <v>2</v>
      </c>
      <c r="D833" s="19">
        <v>1</v>
      </c>
      <c r="E833" s="23" t="s">
        <v>262</v>
      </c>
      <c r="F833" s="19" t="str">
        <f t="shared" si="3"/>
        <v>Medium</v>
      </c>
      <c r="G833" s="19">
        <v>390000</v>
      </c>
      <c r="H833" s="19" t="str">
        <f>IF(' BENGALURU HOUSE PRICE'!$G833&lt;=500000,"Low",
IF(' BENGALURU HOUSE PRICE'!$G833&lt;=1000000,"Medium",
IF(' BENGALURU HOUSE PRICE'!$G833&lt;=3000000,"High","Luxury")))</f>
        <v>Low</v>
      </c>
    </row>
    <row r="834" spans="1:8" ht="15.75" customHeight="1" x14ac:dyDescent="0.25">
      <c r="A834" s="19" t="s">
        <v>15</v>
      </c>
      <c r="B834" s="19">
        <v>1450</v>
      </c>
      <c r="C834" s="19">
        <v>2</v>
      </c>
      <c r="D834" s="19">
        <v>1</v>
      </c>
      <c r="E834" s="23" t="s">
        <v>27</v>
      </c>
      <c r="F834" s="19" t="str">
        <f t="shared" si="3"/>
        <v>Medium</v>
      </c>
      <c r="G834" s="19">
        <v>1000000</v>
      </c>
      <c r="H834" s="19" t="str">
        <f>IF(' BENGALURU HOUSE PRICE'!$G834&lt;=500000,"Low",
IF(' BENGALURU HOUSE PRICE'!$G834&lt;=1000000,"Medium",
IF(' BENGALURU HOUSE PRICE'!$G834&lt;=3000000,"High","Luxury")))</f>
        <v>Medium</v>
      </c>
    </row>
    <row r="835" spans="1:8" ht="15.75" customHeight="1" x14ac:dyDescent="0.25">
      <c r="A835" s="19" t="s">
        <v>424</v>
      </c>
      <c r="B835" s="19">
        <v>460</v>
      </c>
      <c r="C835" s="19">
        <v>1</v>
      </c>
      <c r="D835" s="19">
        <v>0</v>
      </c>
      <c r="E835" s="23" t="s">
        <v>262</v>
      </c>
      <c r="F835" s="19" t="str">
        <f t="shared" si="3"/>
        <v>Small</v>
      </c>
      <c r="G835" s="19">
        <v>150000</v>
      </c>
      <c r="H835" s="19" t="str">
        <f>IF(' BENGALURU HOUSE PRICE'!$G835&lt;=500000,"Low",
IF(' BENGALURU HOUSE PRICE'!$G835&lt;=1000000,"Medium",
IF(' BENGALURU HOUSE PRICE'!$G835&lt;=3000000,"High","Luxury")))</f>
        <v>Low</v>
      </c>
    </row>
    <row r="836" spans="1:8" ht="15.75" customHeight="1" x14ac:dyDescent="0.25">
      <c r="A836" s="19" t="s">
        <v>243</v>
      </c>
      <c r="B836" s="19">
        <v>1022</v>
      </c>
      <c r="C836" s="19">
        <v>2</v>
      </c>
      <c r="D836" s="19">
        <v>2</v>
      </c>
      <c r="E836" s="23" t="s">
        <v>262</v>
      </c>
      <c r="F836" s="19" t="str">
        <f t="shared" si="3"/>
        <v>Medium</v>
      </c>
      <c r="G836" s="19">
        <v>400000</v>
      </c>
      <c r="H836" s="19" t="str">
        <f>IF(' BENGALURU HOUSE PRICE'!$G836&lt;=500000,"Low",
IF(' BENGALURU HOUSE PRICE'!$G836&lt;=1000000,"Medium",
IF(' BENGALURU HOUSE PRICE'!$G836&lt;=3000000,"High","Luxury")))</f>
        <v>Low</v>
      </c>
    </row>
    <row r="837" spans="1:8" ht="15.75" customHeight="1" x14ac:dyDescent="0.25">
      <c r="A837" s="19" t="s">
        <v>18</v>
      </c>
      <c r="B837" s="19">
        <v>1000</v>
      </c>
      <c r="C837" s="19">
        <v>2</v>
      </c>
      <c r="D837" s="19">
        <v>2</v>
      </c>
      <c r="E837" s="23" t="s">
        <v>262</v>
      </c>
      <c r="F837" s="19" t="str">
        <f t="shared" si="3"/>
        <v>Small</v>
      </c>
      <c r="G837" s="19">
        <v>450000</v>
      </c>
      <c r="H837" s="19" t="str">
        <f>IF(' BENGALURU HOUSE PRICE'!$G837&lt;=500000,"Low",
IF(' BENGALURU HOUSE PRICE'!$G837&lt;=1000000,"Medium",
IF(' BENGALURU HOUSE PRICE'!$G837&lt;=3000000,"High","Luxury")))</f>
        <v>Low</v>
      </c>
    </row>
    <row r="838" spans="1:8" ht="15.75" customHeight="1" x14ac:dyDescent="0.25">
      <c r="A838" s="19" t="s">
        <v>16</v>
      </c>
      <c r="B838" s="19">
        <v>1128</v>
      </c>
      <c r="C838" s="19">
        <v>2</v>
      </c>
      <c r="D838" s="19">
        <v>1</v>
      </c>
      <c r="E838" s="23" t="s">
        <v>262</v>
      </c>
      <c r="F838" s="19" t="str">
        <f t="shared" si="3"/>
        <v>Medium</v>
      </c>
      <c r="G838" s="19">
        <v>687500</v>
      </c>
      <c r="H838" s="19" t="str">
        <f>IF(' BENGALURU HOUSE PRICE'!$G838&lt;=500000,"Low",
IF(' BENGALURU HOUSE PRICE'!$G838&lt;=1000000,"Medium",
IF(' BENGALURU HOUSE PRICE'!$G838&lt;=3000000,"High","Luxury")))</f>
        <v>Medium</v>
      </c>
    </row>
    <row r="839" spans="1:8" ht="15.75" customHeight="1" x14ac:dyDescent="0.25">
      <c r="A839" s="19" t="s">
        <v>19</v>
      </c>
      <c r="B839" s="19">
        <v>1180</v>
      </c>
      <c r="C839" s="19">
        <v>2</v>
      </c>
      <c r="D839" s="19">
        <v>2</v>
      </c>
      <c r="E839" s="23" t="s">
        <v>262</v>
      </c>
      <c r="F839" s="19" t="str">
        <f t="shared" si="3"/>
        <v>Medium</v>
      </c>
      <c r="G839" s="19">
        <v>570000</v>
      </c>
      <c r="H839" s="19" t="str">
        <f>IF(' BENGALURU HOUSE PRICE'!$G839&lt;=500000,"Low",
IF(' BENGALURU HOUSE PRICE'!$G839&lt;=1000000,"Medium",
IF(' BENGALURU HOUSE PRICE'!$G839&lt;=3000000,"High","Luxury")))</f>
        <v>Medium</v>
      </c>
    </row>
    <row r="840" spans="1:8" ht="15.75" customHeight="1" x14ac:dyDescent="0.25">
      <c r="A840" s="19" t="s">
        <v>229</v>
      </c>
      <c r="B840" s="19">
        <v>1000</v>
      </c>
      <c r="C840" s="19">
        <v>6</v>
      </c>
      <c r="D840" s="19">
        <v>1</v>
      </c>
      <c r="E840" s="23" t="s">
        <v>266</v>
      </c>
      <c r="F840" s="19" t="str">
        <f t="shared" si="3"/>
        <v>Small</v>
      </c>
      <c r="G840" s="19">
        <v>690000</v>
      </c>
      <c r="H840" s="19" t="str">
        <f>IF(' BENGALURU HOUSE PRICE'!$G840&lt;=500000,"Low",
IF(' BENGALURU HOUSE PRICE'!$G840&lt;=1000000,"Medium",
IF(' BENGALURU HOUSE PRICE'!$G840&lt;=3000000,"High","Luxury")))</f>
        <v>Medium</v>
      </c>
    </row>
    <row r="841" spans="1:8" ht="15.75" customHeight="1" x14ac:dyDescent="0.25">
      <c r="A841" s="19" t="s">
        <v>183</v>
      </c>
      <c r="B841" s="19">
        <v>1200</v>
      </c>
      <c r="C841" s="19">
        <v>2</v>
      </c>
      <c r="D841" s="19">
        <v>1</v>
      </c>
      <c r="E841" s="23" t="s">
        <v>262</v>
      </c>
      <c r="F841" s="19" t="str">
        <f t="shared" si="3"/>
        <v>Medium</v>
      </c>
      <c r="G841" s="19">
        <v>1500000</v>
      </c>
      <c r="H841" s="19" t="str">
        <f>IF(' BENGALURU HOUSE PRICE'!$G841&lt;=500000,"Low",
IF(' BENGALURU HOUSE PRICE'!$G841&lt;=1000000,"Medium",
IF(' BENGALURU HOUSE PRICE'!$G841&lt;=3000000,"High","Luxury")))</f>
        <v>High</v>
      </c>
    </row>
    <row r="842" spans="1:8" ht="15.75" customHeight="1" x14ac:dyDescent="0.25">
      <c r="A842" s="19" t="s">
        <v>206</v>
      </c>
      <c r="B842" s="19">
        <v>3761</v>
      </c>
      <c r="C842" s="19">
        <v>3</v>
      </c>
      <c r="D842" s="19">
        <v>2</v>
      </c>
      <c r="E842" s="23" t="s">
        <v>27</v>
      </c>
      <c r="F842" s="19" t="str">
        <f t="shared" si="3"/>
        <v>Large</v>
      </c>
      <c r="G842" s="19">
        <v>6600000</v>
      </c>
      <c r="H842" s="19" t="str">
        <f>IF(' BENGALURU HOUSE PRICE'!$G842&lt;=500000,"Low",
IF(' BENGALURU HOUSE PRICE'!$G842&lt;=1000000,"Medium",
IF(' BENGALURU HOUSE PRICE'!$G842&lt;=3000000,"High","Luxury")))</f>
        <v>Luxury</v>
      </c>
    </row>
    <row r="843" spans="1:8" ht="15.75" customHeight="1" x14ac:dyDescent="0.25">
      <c r="A843" s="19" t="s">
        <v>19</v>
      </c>
      <c r="B843" s="19">
        <v>1339</v>
      </c>
      <c r="C843" s="19">
        <v>2</v>
      </c>
      <c r="D843" s="19">
        <v>3</v>
      </c>
      <c r="E843" s="23" t="s">
        <v>262</v>
      </c>
      <c r="F843" s="19" t="str">
        <f t="shared" si="3"/>
        <v>Medium</v>
      </c>
      <c r="G843" s="19">
        <v>750000</v>
      </c>
      <c r="H843" s="19" t="str">
        <f>IF(' BENGALURU HOUSE PRICE'!$G843&lt;=500000,"Low",
IF(' BENGALURU HOUSE PRICE'!$G843&lt;=1000000,"Medium",
IF(' BENGALURU HOUSE PRICE'!$G843&lt;=3000000,"High","Luxury")))</f>
        <v>Medium</v>
      </c>
    </row>
    <row r="844" spans="1:8" ht="15.75" customHeight="1" x14ac:dyDescent="0.25">
      <c r="A844" s="19" t="s">
        <v>248</v>
      </c>
      <c r="B844" s="19">
        <v>1400</v>
      </c>
      <c r="C844" s="19">
        <v>2</v>
      </c>
      <c r="D844" s="19">
        <v>3</v>
      </c>
      <c r="E844" s="23" t="s">
        <v>27</v>
      </c>
      <c r="F844" s="19" t="str">
        <f t="shared" si="3"/>
        <v>Medium</v>
      </c>
      <c r="G844" s="19">
        <v>550000</v>
      </c>
      <c r="H844" s="19" t="str">
        <f>IF(' BENGALURU HOUSE PRICE'!$G844&lt;=500000,"Low",
IF(' BENGALURU HOUSE PRICE'!$G844&lt;=1000000,"Medium",
IF(' BENGALURU HOUSE PRICE'!$G844&lt;=3000000,"High","Luxury")))</f>
        <v>Medium</v>
      </c>
    </row>
    <row r="845" spans="1:8" ht="15.75" customHeight="1" x14ac:dyDescent="0.25">
      <c r="A845" s="19" t="s">
        <v>15</v>
      </c>
      <c r="B845" s="19">
        <v>1040</v>
      </c>
      <c r="C845" s="19">
        <v>2</v>
      </c>
      <c r="D845" s="19">
        <v>1</v>
      </c>
      <c r="E845" s="23" t="s">
        <v>262</v>
      </c>
      <c r="F845" s="19" t="str">
        <f t="shared" si="3"/>
        <v>Medium</v>
      </c>
      <c r="G845" s="19">
        <v>395200</v>
      </c>
      <c r="H845" s="19" t="str">
        <f>IF(' BENGALURU HOUSE PRICE'!$G845&lt;=500000,"Low",
IF(' BENGALURU HOUSE PRICE'!$G845&lt;=1000000,"Medium",
IF(' BENGALURU HOUSE PRICE'!$G845&lt;=3000000,"High","Luxury")))</f>
        <v>Low</v>
      </c>
    </row>
    <row r="846" spans="1:8" ht="15.75" customHeight="1" x14ac:dyDescent="0.25">
      <c r="A846" s="19" t="s">
        <v>136</v>
      </c>
      <c r="B846" s="19">
        <v>1198</v>
      </c>
      <c r="C846" s="19">
        <v>2</v>
      </c>
      <c r="D846" s="19">
        <v>2</v>
      </c>
      <c r="E846" s="23" t="s">
        <v>262</v>
      </c>
      <c r="F846" s="19" t="str">
        <f t="shared" si="3"/>
        <v>Medium</v>
      </c>
      <c r="G846" s="19">
        <v>580000</v>
      </c>
      <c r="H846" s="19" t="str">
        <f>IF(' BENGALURU HOUSE PRICE'!$G846&lt;=500000,"Low",
IF(' BENGALURU HOUSE PRICE'!$G846&lt;=1000000,"Medium",
IF(' BENGALURU HOUSE PRICE'!$G846&lt;=3000000,"High","Luxury")))</f>
        <v>Medium</v>
      </c>
    </row>
    <row r="847" spans="1:8" ht="15.75" customHeight="1" x14ac:dyDescent="0.25">
      <c r="A847" s="19" t="s">
        <v>425</v>
      </c>
      <c r="B847" s="19">
        <v>1200</v>
      </c>
      <c r="C847" s="19">
        <v>3</v>
      </c>
      <c r="D847" s="19">
        <v>2</v>
      </c>
      <c r="E847" s="23" t="s">
        <v>264</v>
      </c>
      <c r="F847" s="19" t="str">
        <f t="shared" si="3"/>
        <v>Medium</v>
      </c>
      <c r="G847" s="19">
        <v>950000</v>
      </c>
      <c r="H847" s="19" t="str">
        <f>IF(' BENGALURU HOUSE PRICE'!$G847&lt;=500000,"Low",
IF(' BENGALURU HOUSE PRICE'!$G847&lt;=1000000,"Medium",
IF(' BENGALURU HOUSE PRICE'!$G847&lt;=3000000,"High","Luxury")))</f>
        <v>Medium</v>
      </c>
    </row>
    <row r="848" spans="1:8" ht="15.75" customHeight="1" x14ac:dyDescent="0.25">
      <c r="A848" s="19" t="s">
        <v>22</v>
      </c>
      <c r="B848" s="19">
        <v>1691</v>
      </c>
      <c r="C848" s="19">
        <v>3</v>
      </c>
      <c r="D848" s="19">
        <v>2</v>
      </c>
      <c r="E848" s="23" t="s">
        <v>27</v>
      </c>
      <c r="F848" s="19" t="str">
        <f t="shared" si="3"/>
        <v>Medium</v>
      </c>
      <c r="G848" s="19">
        <v>1130000</v>
      </c>
      <c r="H848" s="19" t="str">
        <f>IF(' BENGALURU HOUSE PRICE'!$G848&lt;=500000,"Low",
IF(' BENGALURU HOUSE PRICE'!$G848&lt;=1000000,"Medium",
IF(' BENGALURU HOUSE PRICE'!$G848&lt;=3000000,"High","Luxury")))</f>
        <v>High</v>
      </c>
    </row>
    <row r="849" spans="1:8" ht="15.75" customHeight="1" x14ac:dyDescent="0.25">
      <c r="A849" s="19" t="s">
        <v>65</v>
      </c>
      <c r="B849" s="19">
        <v>1075</v>
      </c>
      <c r="C849" s="19">
        <v>3</v>
      </c>
      <c r="D849" s="19">
        <v>2</v>
      </c>
      <c r="E849" s="23" t="s">
        <v>27</v>
      </c>
      <c r="F849" s="19" t="str">
        <f t="shared" si="3"/>
        <v>Medium</v>
      </c>
      <c r="G849" s="19">
        <v>360000</v>
      </c>
      <c r="H849" s="19" t="str">
        <f>IF(' BENGALURU HOUSE PRICE'!$G849&lt;=500000,"Low",
IF(' BENGALURU HOUSE PRICE'!$G849&lt;=1000000,"Medium",
IF(' BENGALURU HOUSE PRICE'!$G849&lt;=3000000,"High","Luxury")))</f>
        <v>Low</v>
      </c>
    </row>
    <row r="850" spans="1:8" ht="15.75" customHeight="1" x14ac:dyDescent="0.25">
      <c r="A850" s="19" t="s">
        <v>28</v>
      </c>
      <c r="B850" s="19">
        <v>1630</v>
      </c>
      <c r="C850" s="19">
        <v>3</v>
      </c>
      <c r="D850" s="19">
        <v>2</v>
      </c>
      <c r="E850" s="23" t="s">
        <v>27</v>
      </c>
      <c r="F850" s="19" t="str">
        <f t="shared" si="3"/>
        <v>Medium</v>
      </c>
      <c r="G850" s="19">
        <v>1940000</v>
      </c>
      <c r="H850" s="19" t="str">
        <f>IF(' BENGALURU HOUSE PRICE'!$G850&lt;=500000,"Low",
IF(' BENGALURU HOUSE PRICE'!$G850&lt;=1000000,"Medium",
IF(' BENGALURU HOUSE PRICE'!$G850&lt;=3000000,"High","Luxury")))</f>
        <v>High</v>
      </c>
    </row>
    <row r="851" spans="1:8" ht="15.75" customHeight="1" x14ac:dyDescent="0.25">
      <c r="A851" s="19" t="s">
        <v>33</v>
      </c>
      <c r="B851" s="19">
        <v>1240</v>
      </c>
      <c r="C851" s="19">
        <v>3</v>
      </c>
      <c r="D851" s="19">
        <v>2</v>
      </c>
      <c r="E851" s="23" t="s">
        <v>27</v>
      </c>
      <c r="F851" s="19" t="str">
        <f t="shared" si="3"/>
        <v>Medium</v>
      </c>
      <c r="G851" s="19">
        <v>435000</v>
      </c>
      <c r="H851" s="19" t="str">
        <f>IF(' BENGALURU HOUSE PRICE'!$G851&lt;=500000,"Low",
IF(' BENGALURU HOUSE PRICE'!$G851&lt;=1000000,"Medium",
IF(' BENGALURU HOUSE PRICE'!$G851&lt;=3000000,"High","Luxury")))</f>
        <v>Low</v>
      </c>
    </row>
    <row r="852" spans="1:8" ht="15.75" customHeight="1" x14ac:dyDescent="0.25">
      <c r="A852" s="19" t="s">
        <v>52</v>
      </c>
      <c r="B852" s="19">
        <v>1559</v>
      </c>
      <c r="C852" s="19">
        <v>2</v>
      </c>
      <c r="D852" s="19">
        <v>0</v>
      </c>
      <c r="E852" s="23" t="s">
        <v>262</v>
      </c>
      <c r="F852" s="19" t="str">
        <f t="shared" si="3"/>
        <v>Medium</v>
      </c>
      <c r="G852" s="19">
        <v>589350</v>
      </c>
      <c r="H852" s="19" t="str">
        <f>IF(' BENGALURU HOUSE PRICE'!$G852&lt;=500000,"Low",
IF(' BENGALURU HOUSE PRICE'!$G852&lt;=1000000,"Medium",
IF(' BENGALURU HOUSE PRICE'!$G852&lt;=3000000,"High","Luxury")))</f>
        <v>Medium</v>
      </c>
    </row>
    <row r="853" spans="1:8" ht="15.75" customHeight="1" x14ac:dyDescent="0.25">
      <c r="A853" s="19" t="s">
        <v>170</v>
      </c>
      <c r="B853" s="19">
        <v>1665</v>
      </c>
      <c r="C853" s="19">
        <v>3</v>
      </c>
      <c r="D853" s="19">
        <v>2</v>
      </c>
      <c r="E853" s="23" t="s">
        <v>27</v>
      </c>
      <c r="F853" s="19" t="str">
        <f t="shared" si="3"/>
        <v>Medium</v>
      </c>
      <c r="G853" s="19">
        <v>865800</v>
      </c>
      <c r="H853" s="19" t="str">
        <f>IF(' BENGALURU HOUSE PRICE'!$G853&lt;=500000,"Low",
IF(' BENGALURU HOUSE PRICE'!$G853&lt;=1000000,"Medium",
IF(' BENGALURU HOUSE PRICE'!$G853&lt;=3000000,"High","Luxury")))</f>
        <v>Medium</v>
      </c>
    </row>
    <row r="854" spans="1:8" ht="15.75" customHeight="1" x14ac:dyDescent="0.25">
      <c r="A854" s="19" t="s">
        <v>20</v>
      </c>
      <c r="B854" s="19">
        <v>2489</v>
      </c>
      <c r="C854" s="19">
        <v>3</v>
      </c>
      <c r="D854" s="19">
        <v>2</v>
      </c>
      <c r="E854" s="23" t="s">
        <v>27</v>
      </c>
      <c r="F854" s="19" t="str">
        <f t="shared" si="3"/>
        <v>Large</v>
      </c>
      <c r="G854" s="19">
        <v>940000</v>
      </c>
      <c r="H854" s="19" t="str">
        <f>IF(' BENGALURU HOUSE PRICE'!$G854&lt;=500000,"Low",
IF(' BENGALURU HOUSE PRICE'!$G854&lt;=1000000,"Medium",
IF(' BENGALURU HOUSE PRICE'!$G854&lt;=3000000,"High","Luxury")))</f>
        <v>Medium</v>
      </c>
    </row>
    <row r="855" spans="1:8" ht="15.75" customHeight="1" x14ac:dyDescent="0.25">
      <c r="A855" s="19" t="s">
        <v>68</v>
      </c>
      <c r="B855" s="19">
        <v>1142</v>
      </c>
      <c r="C855" s="19">
        <v>2</v>
      </c>
      <c r="D855" s="19">
        <v>2</v>
      </c>
      <c r="E855" s="23" t="s">
        <v>262</v>
      </c>
      <c r="F855" s="19" t="str">
        <f t="shared" si="3"/>
        <v>Medium</v>
      </c>
      <c r="G855" s="19">
        <v>700000</v>
      </c>
      <c r="H855" s="19" t="str">
        <f>IF(' BENGALURU HOUSE PRICE'!$G855&lt;=500000,"Low",
IF(' BENGALURU HOUSE PRICE'!$G855&lt;=1000000,"Medium",
IF(' BENGALURU HOUSE PRICE'!$G855&lt;=3000000,"High","Luxury")))</f>
        <v>Medium</v>
      </c>
    </row>
    <row r="856" spans="1:8" ht="15.75" customHeight="1" x14ac:dyDescent="0.25">
      <c r="A856" s="19" t="s">
        <v>152</v>
      </c>
      <c r="B856" s="19">
        <v>1976</v>
      </c>
      <c r="C856" s="19">
        <v>3</v>
      </c>
      <c r="D856" s="19">
        <v>1</v>
      </c>
      <c r="E856" s="23" t="s">
        <v>27</v>
      </c>
      <c r="F856" s="19" t="str">
        <f t="shared" si="3"/>
        <v>Medium</v>
      </c>
      <c r="G856" s="19">
        <v>1840000</v>
      </c>
      <c r="H856" s="19" t="str">
        <f>IF(' BENGALURU HOUSE PRICE'!$G856&lt;=500000,"Low",
IF(' BENGALURU HOUSE PRICE'!$G856&lt;=1000000,"Medium",
IF(' BENGALURU HOUSE PRICE'!$G856&lt;=3000000,"High","Luxury")))</f>
        <v>High</v>
      </c>
    </row>
    <row r="857" spans="1:8" ht="15.75" customHeight="1" x14ac:dyDescent="0.25">
      <c r="A857" s="19" t="s">
        <v>426</v>
      </c>
      <c r="B857" s="19">
        <v>5500</v>
      </c>
      <c r="C857" s="19">
        <v>4</v>
      </c>
      <c r="D857" s="19">
        <v>2</v>
      </c>
      <c r="E857" s="23" t="s">
        <v>264</v>
      </c>
      <c r="F857" s="19" t="str">
        <f t="shared" si="3"/>
        <v>Large</v>
      </c>
      <c r="G857" s="19">
        <v>6000000</v>
      </c>
      <c r="H857" s="19" t="str">
        <f>IF(' BENGALURU HOUSE PRICE'!$G857&lt;=500000,"Low",
IF(' BENGALURU HOUSE PRICE'!$G857&lt;=1000000,"Medium",
IF(' BENGALURU HOUSE PRICE'!$G857&lt;=3000000,"High","Luxury")))</f>
        <v>Luxury</v>
      </c>
    </row>
    <row r="858" spans="1:8" ht="15.75" customHeight="1" x14ac:dyDescent="0.25">
      <c r="A858" s="19" t="s">
        <v>158</v>
      </c>
      <c r="B858" s="19">
        <v>1853</v>
      </c>
      <c r="C858" s="19">
        <v>3</v>
      </c>
      <c r="D858" s="19">
        <v>2</v>
      </c>
      <c r="E858" s="23" t="s">
        <v>27</v>
      </c>
      <c r="F858" s="19" t="str">
        <f t="shared" si="3"/>
        <v>Medium</v>
      </c>
      <c r="G858" s="19">
        <v>820000</v>
      </c>
      <c r="H858" s="19" t="str">
        <f>IF(' BENGALURU HOUSE PRICE'!$G858&lt;=500000,"Low",
IF(' BENGALURU HOUSE PRICE'!$G858&lt;=1000000,"Medium",
IF(' BENGALURU HOUSE PRICE'!$G858&lt;=3000000,"High","Luxury")))</f>
        <v>Medium</v>
      </c>
    </row>
    <row r="859" spans="1:8" ht="15.75" customHeight="1" x14ac:dyDescent="0.25">
      <c r="A859" s="19" t="s">
        <v>245</v>
      </c>
      <c r="B859" s="19">
        <v>600</v>
      </c>
      <c r="C859" s="19">
        <v>4</v>
      </c>
      <c r="D859" s="19">
        <v>1</v>
      </c>
      <c r="E859" s="23" t="s">
        <v>271</v>
      </c>
      <c r="F859" s="19" t="str">
        <f t="shared" si="3"/>
        <v>Small</v>
      </c>
      <c r="G859" s="19">
        <v>720000</v>
      </c>
      <c r="H859" s="19" t="str">
        <f>IF(' BENGALURU HOUSE PRICE'!$G859&lt;=500000,"Low",
IF(' BENGALURU HOUSE PRICE'!$G859&lt;=1000000,"Medium",
IF(' BENGALURU HOUSE PRICE'!$G859&lt;=3000000,"High","Luxury")))</f>
        <v>Medium</v>
      </c>
    </row>
    <row r="860" spans="1:8" ht="15.75" customHeight="1" x14ac:dyDescent="0.25">
      <c r="A860" s="19" t="s">
        <v>146</v>
      </c>
      <c r="B860" s="19">
        <v>1567</v>
      </c>
      <c r="C860" s="19">
        <v>2</v>
      </c>
      <c r="D860" s="19">
        <v>2</v>
      </c>
      <c r="E860" s="23" t="s">
        <v>262</v>
      </c>
      <c r="F860" s="19" t="str">
        <f t="shared" si="3"/>
        <v>Medium</v>
      </c>
      <c r="G860" s="19">
        <v>920000</v>
      </c>
      <c r="H860" s="19" t="str">
        <f>IF(' BENGALURU HOUSE PRICE'!$G860&lt;=500000,"Low",
IF(' BENGALURU HOUSE PRICE'!$G860&lt;=1000000,"Medium",
IF(' BENGALURU HOUSE PRICE'!$G860&lt;=3000000,"High","Luxury")))</f>
        <v>Medium</v>
      </c>
    </row>
    <row r="861" spans="1:8" ht="15.75" customHeight="1" x14ac:dyDescent="0.25">
      <c r="A861" s="19" t="s">
        <v>228</v>
      </c>
      <c r="B861" s="19">
        <v>1090</v>
      </c>
      <c r="C861" s="19">
        <v>2</v>
      </c>
      <c r="D861" s="19">
        <v>1</v>
      </c>
      <c r="E861" s="23" t="s">
        <v>262</v>
      </c>
      <c r="F861" s="19" t="str">
        <f t="shared" si="3"/>
        <v>Medium</v>
      </c>
      <c r="G861" s="19">
        <v>272400</v>
      </c>
      <c r="H861" s="19" t="str">
        <f>IF(' BENGALURU HOUSE PRICE'!$G861&lt;=500000,"Low",
IF(' BENGALURU HOUSE PRICE'!$G861&lt;=1000000,"Medium",
IF(' BENGALURU HOUSE PRICE'!$G861&lt;=3000000,"High","Luxury")))</f>
        <v>Low</v>
      </c>
    </row>
    <row r="862" spans="1:8" ht="15.75" customHeight="1" x14ac:dyDescent="0.25">
      <c r="A862" s="19" t="s">
        <v>21</v>
      </c>
      <c r="B862" s="19">
        <v>1200</v>
      </c>
      <c r="C862" s="19">
        <v>4</v>
      </c>
      <c r="D862" s="19">
        <v>2</v>
      </c>
      <c r="E862" s="23" t="s">
        <v>266</v>
      </c>
      <c r="F862" s="19" t="str">
        <f t="shared" si="3"/>
        <v>Medium</v>
      </c>
      <c r="G862" s="19">
        <v>1250000</v>
      </c>
      <c r="H862" s="19" t="str">
        <f>IF(' BENGALURU HOUSE PRICE'!$G862&lt;=500000,"Low",
IF(' BENGALURU HOUSE PRICE'!$G862&lt;=1000000,"Medium",
IF(' BENGALURU HOUSE PRICE'!$G862&lt;=3000000,"High","Luxury")))</f>
        <v>High</v>
      </c>
    </row>
    <row r="863" spans="1:8" ht="15.75" customHeight="1" x14ac:dyDescent="0.25">
      <c r="A863" s="19" t="s">
        <v>427</v>
      </c>
      <c r="B863" s="19">
        <v>2400</v>
      </c>
      <c r="C863" s="19">
        <v>4</v>
      </c>
      <c r="D863" s="19">
        <v>1</v>
      </c>
      <c r="E863" s="23" t="s">
        <v>264</v>
      </c>
      <c r="F863" s="19" t="str">
        <f t="shared" si="3"/>
        <v>Large</v>
      </c>
      <c r="G863" s="19">
        <v>6400000</v>
      </c>
      <c r="H863" s="19" t="str">
        <f>IF(' BENGALURU HOUSE PRICE'!$G863&lt;=500000,"Low",
IF(' BENGALURU HOUSE PRICE'!$G863&lt;=1000000,"Medium",
IF(' BENGALURU HOUSE PRICE'!$G863&lt;=3000000,"High","Luxury")))</f>
        <v>Luxury</v>
      </c>
    </row>
    <row r="864" spans="1:8" ht="15.75" customHeight="1" x14ac:dyDescent="0.25">
      <c r="A864" s="19" t="s">
        <v>97</v>
      </c>
      <c r="B864" s="19">
        <v>1175</v>
      </c>
      <c r="C864" s="19">
        <v>2</v>
      </c>
      <c r="D864" s="19">
        <v>2</v>
      </c>
      <c r="E864" s="23" t="s">
        <v>262</v>
      </c>
      <c r="F864" s="19" t="str">
        <f t="shared" si="3"/>
        <v>Medium</v>
      </c>
      <c r="G864" s="19">
        <v>514700</v>
      </c>
      <c r="H864" s="19" t="str">
        <f>IF(' BENGALURU HOUSE PRICE'!$G864&lt;=500000,"Low",
IF(' BENGALURU HOUSE PRICE'!$G864&lt;=1000000,"Medium",
IF(' BENGALURU HOUSE PRICE'!$G864&lt;=3000000,"High","Luxury")))</f>
        <v>Medium</v>
      </c>
    </row>
    <row r="865" spans="1:8" ht="15.75" customHeight="1" x14ac:dyDescent="0.25">
      <c r="A865" s="19" t="s">
        <v>361</v>
      </c>
      <c r="B865" s="19">
        <v>1200</v>
      </c>
      <c r="C865" s="19">
        <v>2</v>
      </c>
      <c r="D865" s="19">
        <v>2</v>
      </c>
      <c r="E865" s="23" t="s">
        <v>262</v>
      </c>
      <c r="F865" s="19" t="str">
        <f t="shared" si="3"/>
        <v>Medium</v>
      </c>
      <c r="G865" s="19">
        <v>520000</v>
      </c>
      <c r="H865" s="19" t="str">
        <f>IF(' BENGALURU HOUSE PRICE'!$G865&lt;=500000,"Low",
IF(' BENGALURU HOUSE PRICE'!$G865&lt;=1000000,"Medium",
IF(' BENGALURU HOUSE PRICE'!$G865&lt;=3000000,"High","Luxury")))</f>
        <v>Medium</v>
      </c>
    </row>
    <row r="866" spans="1:8" ht="15.75" customHeight="1" x14ac:dyDescent="0.25">
      <c r="A866" s="19" t="s">
        <v>153</v>
      </c>
      <c r="B866" s="19">
        <v>995</v>
      </c>
      <c r="C866" s="19">
        <v>2</v>
      </c>
      <c r="D866" s="19">
        <v>1</v>
      </c>
      <c r="E866" s="23" t="s">
        <v>262</v>
      </c>
      <c r="F866" s="19" t="str">
        <f t="shared" si="3"/>
        <v>Small</v>
      </c>
      <c r="G866" s="19">
        <v>410000</v>
      </c>
      <c r="H866" s="19" t="str">
        <f>IF(' BENGALURU HOUSE PRICE'!$G866&lt;=500000,"Low",
IF(' BENGALURU HOUSE PRICE'!$G866&lt;=1000000,"Medium",
IF(' BENGALURU HOUSE PRICE'!$G866&lt;=3000000,"High","Luxury")))</f>
        <v>Low</v>
      </c>
    </row>
    <row r="867" spans="1:8" ht="15.75" customHeight="1" x14ac:dyDescent="0.25">
      <c r="A867" s="19" t="s">
        <v>168</v>
      </c>
      <c r="B867" s="19">
        <v>884</v>
      </c>
      <c r="C867" s="19">
        <v>2</v>
      </c>
      <c r="D867" s="19">
        <v>1</v>
      </c>
      <c r="E867" s="23" t="s">
        <v>262</v>
      </c>
      <c r="F867" s="19" t="str">
        <f t="shared" si="3"/>
        <v>Small</v>
      </c>
      <c r="G867" s="19">
        <v>411000</v>
      </c>
      <c r="H867" s="19" t="str">
        <f>IF(' BENGALURU HOUSE PRICE'!$G867&lt;=500000,"Low",
IF(' BENGALURU HOUSE PRICE'!$G867&lt;=1000000,"Medium",
IF(' BENGALURU HOUSE PRICE'!$G867&lt;=3000000,"High","Luxury")))</f>
        <v>Low</v>
      </c>
    </row>
    <row r="868" spans="1:8" ht="15.75" customHeight="1" x14ac:dyDescent="0.25">
      <c r="A868" s="19" t="s">
        <v>428</v>
      </c>
      <c r="B868" s="19">
        <v>900</v>
      </c>
      <c r="C868" s="19">
        <v>3</v>
      </c>
      <c r="D868" s="19">
        <v>2</v>
      </c>
      <c r="E868" s="23" t="s">
        <v>292</v>
      </c>
      <c r="F868" s="19" t="str">
        <f t="shared" si="3"/>
        <v>Small</v>
      </c>
      <c r="G868" s="19">
        <v>800000</v>
      </c>
      <c r="H868" s="19" t="str">
        <f>IF(' BENGALURU HOUSE PRICE'!$G868&lt;=500000,"Low",
IF(' BENGALURU HOUSE PRICE'!$G868&lt;=1000000,"Medium",
IF(' BENGALURU HOUSE PRICE'!$G868&lt;=3000000,"High","Luxury")))</f>
        <v>Medium</v>
      </c>
    </row>
    <row r="869" spans="1:8" ht="15.75" customHeight="1" x14ac:dyDescent="0.25">
      <c r="A869" s="19" t="s">
        <v>250</v>
      </c>
      <c r="B869" s="19">
        <v>1170</v>
      </c>
      <c r="C869" s="19">
        <v>2</v>
      </c>
      <c r="D869" s="19">
        <v>2</v>
      </c>
      <c r="E869" s="23" t="s">
        <v>262</v>
      </c>
      <c r="F869" s="19" t="str">
        <f t="shared" si="3"/>
        <v>Medium</v>
      </c>
      <c r="G869" s="19">
        <v>570000</v>
      </c>
      <c r="H869" s="19" t="str">
        <f>IF(' BENGALURU HOUSE PRICE'!$G869&lt;=500000,"Low",
IF(' BENGALURU HOUSE PRICE'!$G869&lt;=1000000,"Medium",
IF(' BENGALURU HOUSE PRICE'!$G869&lt;=3000000,"High","Luxury")))</f>
        <v>Medium</v>
      </c>
    </row>
    <row r="870" spans="1:8" ht="15.75" customHeight="1" x14ac:dyDescent="0.25">
      <c r="A870" s="19" t="s">
        <v>273</v>
      </c>
      <c r="B870" s="19">
        <v>1225</v>
      </c>
      <c r="C870" s="19">
        <v>2</v>
      </c>
      <c r="D870" s="19">
        <v>1</v>
      </c>
      <c r="E870" s="23" t="s">
        <v>262</v>
      </c>
      <c r="F870" s="19" t="str">
        <f t="shared" si="3"/>
        <v>Medium</v>
      </c>
      <c r="G870" s="19">
        <v>465500</v>
      </c>
      <c r="H870" s="19" t="str">
        <f>IF(' BENGALURU HOUSE PRICE'!$G870&lt;=500000,"Low",
IF(' BENGALURU HOUSE PRICE'!$G870&lt;=1000000,"Medium",
IF(' BENGALURU HOUSE PRICE'!$G870&lt;=3000000,"High","Luxury")))</f>
        <v>Low</v>
      </c>
    </row>
    <row r="871" spans="1:8" ht="15.75" customHeight="1" x14ac:dyDescent="0.25">
      <c r="A871" s="19" t="s">
        <v>16</v>
      </c>
      <c r="B871" s="19">
        <v>1342</v>
      </c>
      <c r="C871" s="19">
        <v>2</v>
      </c>
      <c r="D871" s="19">
        <v>1</v>
      </c>
      <c r="E871" s="23" t="s">
        <v>262</v>
      </c>
      <c r="F871" s="19" t="str">
        <f t="shared" si="3"/>
        <v>Medium</v>
      </c>
      <c r="G871" s="19">
        <v>733000</v>
      </c>
      <c r="H871" s="19" t="str">
        <f>IF(' BENGALURU HOUSE PRICE'!$G871&lt;=500000,"Low",
IF(' BENGALURU HOUSE PRICE'!$G871&lt;=1000000,"Medium",
IF(' BENGALURU HOUSE PRICE'!$G871&lt;=3000000,"High","Luxury")))</f>
        <v>Medium</v>
      </c>
    </row>
    <row r="872" spans="1:8" ht="15.75" customHeight="1" x14ac:dyDescent="0.25">
      <c r="A872" s="19" t="s">
        <v>24</v>
      </c>
      <c r="B872" s="19">
        <v>1345</v>
      </c>
      <c r="C872" s="19">
        <v>2</v>
      </c>
      <c r="D872" s="19">
        <v>1</v>
      </c>
      <c r="E872" s="23" t="s">
        <v>262</v>
      </c>
      <c r="F872" s="19" t="str">
        <f t="shared" si="3"/>
        <v>Medium</v>
      </c>
      <c r="G872" s="19">
        <v>670000</v>
      </c>
      <c r="H872" s="19" t="str">
        <f>IF(' BENGALURU HOUSE PRICE'!$G872&lt;=500000,"Low",
IF(' BENGALURU HOUSE PRICE'!$G872&lt;=1000000,"Medium",
IF(' BENGALURU HOUSE PRICE'!$G872&lt;=3000000,"High","Luxury")))</f>
        <v>Medium</v>
      </c>
    </row>
    <row r="873" spans="1:8" ht="15.75" customHeight="1" x14ac:dyDescent="0.25">
      <c r="A873" s="19" t="s">
        <v>154</v>
      </c>
      <c r="B873" s="19">
        <v>1320</v>
      </c>
      <c r="C873" s="19">
        <v>3</v>
      </c>
      <c r="D873" s="19">
        <v>0</v>
      </c>
      <c r="E873" s="23" t="s">
        <v>27</v>
      </c>
      <c r="F873" s="19" t="str">
        <f t="shared" si="3"/>
        <v>Medium</v>
      </c>
      <c r="G873" s="19">
        <v>650000</v>
      </c>
      <c r="H873" s="19" t="str">
        <f>IF(' BENGALURU HOUSE PRICE'!$G873&lt;=500000,"Low",
IF(' BENGALURU HOUSE PRICE'!$G873&lt;=1000000,"Medium",
IF(' BENGALURU HOUSE PRICE'!$G873&lt;=3000000,"High","Luxury")))</f>
        <v>Medium</v>
      </c>
    </row>
    <row r="874" spans="1:8" ht="15.75" customHeight="1" x14ac:dyDescent="0.25">
      <c r="A874" s="19" t="s">
        <v>429</v>
      </c>
      <c r="B874" s="19">
        <v>1559</v>
      </c>
      <c r="C874" s="19">
        <v>2</v>
      </c>
      <c r="D874" s="19">
        <v>2</v>
      </c>
      <c r="E874" s="23" t="s">
        <v>262</v>
      </c>
      <c r="F874" s="19" t="str">
        <f t="shared" si="3"/>
        <v>Medium</v>
      </c>
      <c r="G874" s="19">
        <v>450000</v>
      </c>
      <c r="H874" s="19" t="str">
        <f>IF(' BENGALURU HOUSE PRICE'!$G874&lt;=500000,"Low",
IF(' BENGALURU HOUSE PRICE'!$G874&lt;=1000000,"Medium",
IF(' BENGALURU HOUSE PRICE'!$G874&lt;=3000000,"High","Luxury")))</f>
        <v>Low</v>
      </c>
    </row>
    <row r="875" spans="1:8" ht="15.75" customHeight="1" x14ac:dyDescent="0.25">
      <c r="A875" s="19" t="s">
        <v>21</v>
      </c>
      <c r="B875" s="19">
        <v>1140</v>
      </c>
      <c r="C875" s="19">
        <v>2</v>
      </c>
      <c r="D875" s="19">
        <v>1</v>
      </c>
      <c r="E875" s="23" t="s">
        <v>262</v>
      </c>
      <c r="F875" s="19" t="str">
        <f t="shared" si="3"/>
        <v>Medium</v>
      </c>
      <c r="G875" s="19">
        <v>493900</v>
      </c>
      <c r="H875" s="19" t="str">
        <f>IF(' BENGALURU HOUSE PRICE'!$G875&lt;=500000,"Low",
IF(' BENGALURU HOUSE PRICE'!$G875&lt;=1000000,"Medium",
IF(' BENGALURU HOUSE PRICE'!$G875&lt;=3000000,"High","Luxury")))</f>
        <v>Low</v>
      </c>
    </row>
    <row r="876" spans="1:8" ht="15.75" customHeight="1" x14ac:dyDescent="0.25">
      <c r="A876" s="19" t="s">
        <v>57</v>
      </c>
      <c r="B876" s="19">
        <v>1300</v>
      </c>
      <c r="C876" s="19">
        <v>2</v>
      </c>
      <c r="D876" s="19">
        <v>1</v>
      </c>
      <c r="E876" s="23" t="s">
        <v>262</v>
      </c>
      <c r="F876" s="19" t="str">
        <f t="shared" si="3"/>
        <v>Medium</v>
      </c>
      <c r="G876" s="19">
        <v>500000</v>
      </c>
      <c r="H876" s="19" t="str">
        <f>IF(' BENGALURU HOUSE PRICE'!$G876&lt;=500000,"Low",
IF(' BENGALURU HOUSE PRICE'!$G876&lt;=1000000,"Medium",
IF(' BENGALURU HOUSE PRICE'!$G876&lt;=3000000,"High","Luxury")))</f>
        <v>Low</v>
      </c>
    </row>
    <row r="877" spans="1:8" ht="15.75" customHeight="1" x14ac:dyDescent="0.25">
      <c r="A877" s="19" t="s">
        <v>117</v>
      </c>
      <c r="B877" s="19">
        <v>1652</v>
      </c>
      <c r="C877" s="19">
        <v>3</v>
      </c>
      <c r="D877" s="19">
        <v>2</v>
      </c>
      <c r="E877" s="23" t="s">
        <v>27</v>
      </c>
      <c r="F877" s="19" t="str">
        <f t="shared" si="3"/>
        <v>Medium</v>
      </c>
      <c r="G877" s="19">
        <v>850000</v>
      </c>
      <c r="H877" s="19" t="str">
        <f>IF(' BENGALURU HOUSE PRICE'!$G877&lt;=500000,"Low",
IF(' BENGALURU HOUSE PRICE'!$G877&lt;=1000000,"Medium",
IF(' BENGALURU HOUSE PRICE'!$G877&lt;=3000000,"High","Luxury")))</f>
        <v>Medium</v>
      </c>
    </row>
    <row r="878" spans="1:8" ht="15.75" customHeight="1" x14ac:dyDescent="0.25">
      <c r="A878" s="19" t="s">
        <v>233</v>
      </c>
      <c r="B878" s="19">
        <v>2072</v>
      </c>
      <c r="C878" s="19">
        <v>4</v>
      </c>
      <c r="D878" s="19">
        <v>2</v>
      </c>
      <c r="E878" s="23" t="s">
        <v>27</v>
      </c>
      <c r="F878" s="19" t="str">
        <f t="shared" si="3"/>
        <v>Large</v>
      </c>
      <c r="G878" s="19">
        <v>1420000</v>
      </c>
      <c r="H878" s="19" t="str">
        <f>IF(' BENGALURU HOUSE PRICE'!$G878&lt;=500000,"Low",
IF(' BENGALURU HOUSE PRICE'!$G878&lt;=1000000,"Medium",
IF(' BENGALURU HOUSE PRICE'!$G878&lt;=3000000,"High","Luxury")))</f>
        <v>High</v>
      </c>
    </row>
    <row r="879" spans="1:8" ht="15.75" customHeight="1" x14ac:dyDescent="0.25">
      <c r="A879" s="19" t="s">
        <v>42</v>
      </c>
      <c r="B879" s="19">
        <v>1740</v>
      </c>
      <c r="C879" s="19">
        <v>2</v>
      </c>
      <c r="D879" s="19">
        <v>2</v>
      </c>
      <c r="E879" s="23" t="s">
        <v>27</v>
      </c>
      <c r="F879" s="19" t="str">
        <f t="shared" si="3"/>
        <v>Medium</v>
      </c>
      <c r="G879" s="19">
        <v>950000</v>
      </c>
      <c r="H879" s="19" t="str">
        <f>IF(' BENGALURU HOUSE PRICE'!$G879&lt;=500000,"Low",
IF(' BENGALURU HOUSE PRICE'!$G879&lt;=1000000,"Medium",
IF(' BENGALURU HOUSE PRICE'!$G879&lt;=3000000,"High","Luxury")))</f>
        <v>Medium</v>
      </c>
    </row>
    <row r="880" spans="1:8" ht="15.75" customHeight="1" x14ac:dyDescent="0.25">
      <c r="A880" s="19" t="s">
        <v>16</v>
      </c>
      <c r="B880" s="19">
        <v>1360</v>
      </c>
      <c r="C880" s="19">
        <v>2</v>
      </c>
      <c r="D880" s="19">
        <v>1</v>
      </c>
      <c r="E880" s="23" t="s">
        <v>27</v>
      </c>
      <c r="F880" s="19" t="str">
        <f t="shared" si="3"/>
        <v>Medium</v>
      </c>
      <c r="G880" s="19">
        <v>710000</v>
      </c>
      <c r="H880" s="19" t="str">
        <f>IF(' BENGALURU HOUSE PRICE'!$G880&lt;=500000,"Low",
IF(' BENGALURU HOUSE PRICE'!$G880&lt;=1000000,"Medium",
IF(' BENGALURU HOUSE PRICE'!$G880&lt;=3000000,"High","Luxury")))</f>
        <v>Medium</v>
      </c>
    </row>
    <row r="881" spans="1:8" ht="15.75" customHeight="1" x14ac:dyDescent="0.25">
      <c r="A881" s="19" t="s">
        <v>120</v>
      </c>
      <c r="B881" s="19">
        <v>1145</v>
      </c>
      <c r="C881" s="19">
        <v>2</v>
      </c>
      <c r="D881" s="19">
        <v>2</v>
      </c>
      <c r="E881" s="23" t="s">
        <v>27</v>
      </c>
      <c r="F881" s="19" t="str">
        <f t="shared" si="3"/>
        <v>Medium</v>
      </c>
      <c r="G881" s="19">
        <v>600000</v>
      </c>
      <c r="H881" s="19" t="str">
        <f>IF(' BENGALURU HOUSE PRICE'!$G881&lt;=500000,"Low",
IF(' BENGALURU HOUSE PRICE'!$G881&lt;=1000000,"Medium",
IF(' BENGALURU HOUSE PRICE'!$G881&lt;=3000000,"High","Luxury")))</f>
        <v>Medium</v>
      </c>
    </row>
    <row r="882" spans="1:8" ht="15.75" customHeight="1" x14ac:dyDescent="0.25">
      <c r="A882" s="19" t="s">
        <v>24</v>
      </c>
      <c r="B882" s="19">
        <v>1540</v>
      </c>
      <c r="C882" s="19">
        <v>2</v>
      </c>
      <c r="D882" s="19">
        <v>0</v>
      </c>
      <c r="E882" s="23" t="s">
        <v>27</v>
      </c>
      <c r="F882" s="19" t="str">
        <f t="shared" si="3"/>
        <v>Medium</v>
      </c>
      <c r="G882" s="19">
        <v>400000</v>
      </c>
      <c r="H882" s="19" t="str">
        <f>IF(' BENGALURU HOUSE PRICE'!$G882&lt;=500000,"Low",
IF(' BENGALURU HOUSE PRICE'!$G882&lt;=1000000,"Medium",
IF(' BENGALURU HOUSE PRICE'!$G882&lt;=3000000,"High","Luxury")))</f>
        <v>Low</v>
      </c>
    </row>
    <row r="883" spans="1:8" ht="15.75" customHeight="1" x14ac:dyDescent="0.25">
      <c r="A883" s="19" t="s">
        <v>22</v>
      </c>
      <c r="B883" s="19">
        <v>1278</v>
      </c>
      <c r="C883" s="19">
        <v>2</v>
      </c>
      <c r="D883" s="19">
        <v>2</v>
      </c>
      <c r="E883" s="23" t="s">
        <v>262</v>
      </c>
      <c r="F883" s="19" t="str">
        <f t="shared" si="3"/>
        <v>Medium</v>
      </c>
      <c r="G883" s="19">
        <v>950000</v>
      </c>
      <c r="H883" s="19" t="str">
        <f>IF(' BENGALURU HOUSE PRICE'!$G883&lt;=500000,"Low",
IF(' BENGALURU HOUSE PRICE'!$G883&lt;=1000000,"Medium",
IF(' BENGALURU HOUSE PRICE'!$G883&lt;=3000000,"High","Luxury")))</f>
        <v>Medium</v>
      </c>
    </row>
    <row r="884" spans="1:8" ht="15.75" customHeight="1" x14ac:dyDescent="0.25">
      <c r="A884" s="19" t="s">
        <v>96</v>
      </c>
      <c r="B884" s="19">
        <v>630</v>
      </c>
      <c r="C884" s="19">
        <v>1</v>
      </c>
      <c r="D884" s="19">
        <v>1</v>
      </c>
      <c r="E884" s="23" t="s">
        <v>267</v>
      </c>
      <c r="F884" s="19" t="str">
        <f t="shared" si="3"/>
        <v>Small</v>
      </c>
      <c r="G884" s="19">
        <v>400000</v>
      </c>
      <c r="H884" s="19" t="str">
        <f>IF(' BENGALURU HOUSE PRICE'!$G884&lt;=500000,"Low",
IF(' BENGALURU HOUSE PRICE'!$G884&lt;=1000000,"Medium",
IF(' BENGALURU HOUSE PRICE'!$G884&lt;=3000000,"High","Luxury")))</f>
        <v>Low</v>
      </c>
    </row>
    <row r="885" spans="1:8" ht="15.75" customHeight="1" x14ac:dyDescent="0.25">
      <c r="A885" s="19" t="s">
        <v>19</v>
      </c>
      <c r="B885" s="19">
        <v>1100</v>
      </c>
      <c r="C885" s="19">
        <v>3</v>
      </c>
      <c r="D885" s="19">
        <v>2</v>
      </c>
      <c r="E885" s="23" t="s">
        <v>27</v>
      </c>
      <c r="F885" s="19" t="str">
        <f t="shared" si="3"/>
        <v>Medium</v>
      </c>
      <c r="G885" s="19">
        <v>580000</v>
      </c>
      <c r="H885" s="19" t="str">
        <f>IF(' BENGALURU HOUSE PRICE'!$G885&lt;=500000,"Low",
IF(' BENGALURU HOUSE PRICE'!$G885&lt;=1000000,"Medium",
IF(' BENGALURU HOUSE PRICE'!$G885&lt;=3000000,"High","Luxury")))</f>
        <v>Medium</v>
      </c>
    </row>
    <row r="886" spans="1:8" ht="15.75" customHeight="1" x14ac:dyDescent="0.25">
      <c r="A886" s="19" t="s">
        <v>61</v>
      </c>
      <c r="B886" s="19">
        <v>1200</v>
      </c>
      <c r="C886" s="19">
        <v>3</v>
      </c>
      <c r="D886" s="19">
        <v>0</v>
      </c>
      <c r="E886" s="23" t="s">
        <v>27</v>
      </c>
      <c r="F886" s="19" t="str">
        <f t="shared" si="3"/>
        <v>Medium</v>
      </c>
      <c r="G886" s="19">
        <v>950000</v>
      </c>
      <c r="H886" s="19" t="str">
        <f>IF(' BENGALURU HOUSE PRICE'!$G886&lt;=500000,"Low",
IF(' BENGALURU HOUSE PRICE'!$G886&lt;=1000000,"Medium",
IF(' BENGALURU HOUSE PRICE'!$G886&lt;=3000000,"High","Luxury")))</f>
        <v>Medium</v>
      </c>
    </row>
    <row r="887" spans="1:8" ht="15.75" customHeight="1" x14ac:dyDescent="0.25">
      <c r="A887" s="19" t="s">
        <v>430</v>
      </c>
      <c r="B887" s="19">
        <v>2500</v>
      </c>
      <c r="C887" s="19">
        <v>6</v>
      </c>
      <c r="D887" s="19">
        <v>2</v>
      </c>
      <c r="E887" s="23" t="s">
        <v>290</v>
      </c>
      <c r="F887" s="19" t="str">
        <f t="shared" si="3"/>
        <v>Large</v>
      </c>
      <c r="G887" s="19">
        <v>1150000</v>
      </c>
      <c r="H887" s="19" t="str">
        <f>IF(' BENGALURU HOUSE PRICE'!$G887&lt;=500000,"Low",
IF(' BENGALURU HOUSE PRICE'!$G887&lt;=1000000,"Medium",
IF(' BENGALURU HOUSE PRICE'!$G887&lt;=3000000,"High","Luxury")))</f>
        <v>High</v>
      </c>
    </row>
    <row r="888" spans="1:8" ht="15.75" customHeight="1" x14ac:dyDescent="0.25">
      <c r="A888" s="19" t="s">
        <v>74</v>
      </c>
      <c r="B888" s="19">
        <v>1559</v>
      </c>
      <c r="C888" s="19">
        <v>1</v>
      </c>
      <c r="D888" s="19">
        <v>0</v>
      </c>
      <c r="E888" s="23" t="s">
        <v>267</v>
      </c>
      <c r="F888" s="19" t="str">
        <f t="shared" si="3"/>
        <v>Medium</v>
      </c>
      <c r="G888" s="19">
        <v>151350</v>
      </c>
      <c r="H888" s="19" t="str">
        <f>IF(' BENGALURU HOUSE PRICE'!$G888&lt;=500000,"Low",
IF(' BENGALURU HOUSE PRICE'!$G888&lt;=1000000,"Medium",
IF(' BENGALURU HOUSE PRICE'!$G888&lt;=3000000,"High","Luxury")))</f>
        <v>Low</v>
      </c>
    </row>
    <row r="889" spans="1:8" ht="15.75" customHeight="1" x14ac:dyDescent="0.25">
      <c r="A889" s="19" t="s">
        <v>74</v>
      </c>
      <c r="B889" s="19">
        <v>1015</v>
      </c>
      <c r="C889" s="19">
        <v>2</v>
      </c>
      <c r="D889" s="19">
        <v>2</v>
      </c>
      <c r="E889" s="23" t="s">
        <v>262</v>
      </c>
      <c r="F889" s="19" t="str">
        <f t="shared" si="3"/>
        <v>Medium</v>
      </c>
      <c r="G889" s="19">
        <v>258800</v>
      </c>
      <c r="H889" s="19" t="str">
        <f>IF(' BENGALURU HOUSE PRICE'!$G889&lt;=500000,"Low",
IF(' BENGALURU HOUSE PRICE'!$G889&lt;=1000000,"Medium",
IF(' BENGALURU HOUSE PRICE'!$G889&lt;=3000000,"High","Luxury")))</f>
        <v>Low</v>
      </c>
    </row>
    <row r="890" spans="1:8" ht="15.75" customHeight="1" x14ac:dyDescent="0.25">
      <c r="A890" s="19" t="s">
        <v>120</v>
      </c>
      <c r="B890" s="19">
        <v>3300</v>
      </c>
      <c r="C890" s="19">
        <v>5</v>
      </c>
      <c r="D890" s="19">
        <v>2</v>
      </c>
      <c r="E890" s="23" t="s">
        <v>292</v>
      </c>
      <c r="F890" s="19" t="str">
        <f t="shared" si="3"/>
        <v>Large</v>
      </c>
      <c r="G890" s="19">
        <v>2400000</v>
      </c>
      <c r="H890" s="19" t="str">
        <f>IF(' BENGALURU HOUSE PRICE'!$G890&lt;=500000,"Low",
IF(' BENGALURU HOUSE PRICE'!$G890&lt;=1000000,"Medium",
IF(' BENGALURU HOUSE PRICE'!$G890&lt;=3000000,"High","Luxury")))</f>
        <v>High</v>
      </c>
    </row>
    <row r="891" spans="1:8" ht="15.75" customHeight="1" x14ac:dyDescent="0.25">
      <c r="A891" s="19" t="s">
        <v>56</v>
      </c>
      <c r="B891" s="19">
        <v>4500</v>
      </c>
      <c r="C891" s="19">
        <v>5</v>
      </c>
      <c r="D891" s="19">
        <v>1</v>
      </c>
      <c r="E891" s="23" t="s">
        <v>292</v>
      </c>
      <c r="F891" s="19" t="str">
        <f t="shared" si="3"/>
        <v>Large</v>
      </c>
      <c r="G891" s="19">
        <v>4150000</v>
      </c>
      <c r="H891" s="19" t="str">
        <f>IF(' BENGALURU HOUSE PRICE'!$G891&lt;=500000,"Low",
IF(' BENGALURU HOUSE PRICE'!$G891&lt;=1000000,"Medium",
IF(' BENGALURU HOUSE PRICE'!$G891&lt;=3000000,"High","Luxury")))</f>
        <v>Luxury</v>
      </c>
    </row>
    <row r="892" spans="1:8" ht="15.75" customHeight="1" x14ac:dyDescent="0.25">
      <c r="A892" s="19" t="s">
        <v>107</v>
      </c>
      <c r="B892" s="19">
        <v>1356</v>
      </c>
      <c r="C892" s="19">
        <v>2</v>
      </c>
      <c r="D892" s="19">
        <v>3</v>
      </c>
      <c r="E892" s="23" t="s">
        <v>27</v>
      </c>
      <c r="F892" s="19" t="str">
        <f t="shared" si="3"/>
        <v>Medium</v>
      </c>
      <c r="G892" s="19">
        <v>660000</v>
      </c>
      <c r="H892" s="19" t="str">
        <f>IF(' BENGALURU HOUSE PRICE'!$G892&lt;=500000,"Low",
IF(' BENGALURU HOUSE PRICE'!$G892&lt;=1000000,"Medium",
IF(' BENGALURU HOUSE PRICE'!$G892&lt;=3000000,"High","Luxury")))</f>
        <v>Medium</v>
      </c>
    </row>
    <row r="893" spans="1:8" ht="15.75" customHeight="1" x14ac:dyDescent="0.25">
      <c r="A893" s="19" t="s">
        <v>431</v>
      </c>
      <c r="B893" s="19">
        <v>823</v>
      </c>
      <c r="C893" s="19">
        <v>2</v>
      </c>
      <c r="D893" s="19">
        <v>1</v>
      </c>
      <c r="E893" s="23" t="s">
        <v>262</v>
      </c>
      <c r="F893" s="19" t="str">
        <f t="shared" si="3"/>
        <v>Small</v>
      </c>
      <c r="G893" s="19">
        <v>280000</v>
      </c>
      <c r="H893" s="19" t="str">
        <f>IF(' BENGALURU HOUSE PRICE'!$G893&lt;=500000,"Low",
IF(' BENGALURU HOUSE PRICE'!$G893&lt;=1000000,"Medium",
IF(' BENGALURU HOUSE PRICE'!$G893&lt;=3000000,"High","Luxury")))</f>
        <v>Low</v>
      </c>
    </row>
    <row r="894" spans="1:8" ht="15.75" customHeight="1" x14ac:dyDescent="0.25">
      <c r="A894" s="19" t="s">
        <v>229</v>
      </c>
      <c r="B894" s="19">
        <v>1200</v>
      </c>
      <c r="C894" s="19">
        <v>2</v>
      </c>
      <c r="D894" s="19">
        <v>0</v>
      </c>
      <c r="E894" s="23" t="s">
        <v>27</v>
      </c>
      <c r="F894" s="19" t="str">
        <f t="shared" si="3"/>
        <v>Medium</v>
      </c>
      <c r="G894" s="19">
        <v>660000</v>
      </c>
      <c r="H894" s="19" t="str">
        <f>IF(' BENGALURU HOUSE PRICE'!$G894&lt;=500000,"Low",
IF(' BENGALURU HOUSE PRICE'!$G894&lt;=1000000,"Medium",
IF(' BENGALURU HOUSE PRICE'!$G894&lt;=3000000,"High","Luxury")))</f>
        <v>Medium</v>
      </c>
    </row>
    <row r="895" spans="1:8" ht="15.75" customHeight="1" x14ac:dyDescent="0.25">
      <c r="A895" s="19" t="s">
        <v>285</v>
      </c>
      <c r="B895" s="19">
        <v>1050</v>
      </c>
      <c r="C895" s="19">
        <v>2</v>
      </c>
      <c r="D895" s="19">
        <v>0</v>
      </c>
      <c r="E895" s="23" t="s">
        <v>262</v>
      </c>
      <c r="F895" s="19" t="str">
        <f t="shared" si="3"/>
        <v>Medium</v>
      </c>
      <c r="G895" s="19">
        <v>370000</v>
      </c>
      <c r="H895" s="19" t="str">
        <f>IF(' BENGALURU HOUSE PRICE'!$G895&lt;=500000,"Low",
IF(' BENGALURU HOUSE PRICE'!$G895&lt;=1000000,"Medium",
IF(' BENGALURU HOUSE PRICE'!$G895&lt;=3000000,"High","Luxury")))</f>
        <v>Low</v>
      </c>
    </row>
    <row r="896" spans="1:8" ht="15.75" customHeight="1" x14ac:dyDescent="0.25">
      <c r="A896" s="19" t="s">
        <v>432</v>
      </c>
      <c r="B896" s="19">
        <v>1180</v>
      </c>
      <c r="C896" s="19">
        <v>2</v>
      </c>
      <c r="D896" s="19">
        <v>1</v>
      </c>
      <c r="E896" s="23" t="s">
        <v>262</v>
      </c>
      <c r="F896" s="19" t="str">
        <f t="shared" si="3"/>
        <v>Medium</v>
      </c>
      <c r="G896" s="19">
        <v>690000</v>
      </c>
      <c r="H896" s="19" t="str">
        <f>IF(' BENGALURU HOUSE PRICE'!$G896&lt;=500000,"Low",
IF(' BENGALURU HOUSE PRICE'!$G896&lt;=1000000,"Medium",
IF(' BENGALURU HOUSE PRICE'!$G896&lt;=3000000,"High","Luxury")))</f>
        <v>Medium</v>
      </c>
    </row>
    <row r="897" spans="1:8" ht="15.75" customHeight="1" x14ac:dyDescent="0.25">
      <c r="A897" s="19" t="s">
        <v>25</v>
      </c>
      <c r="B897" s="19">
        <v>1116</v>
      </c>
      <c r="C897" s="19">
        <v>2</v>
      </c>
      <c r="D897" s="19">
        <v>3</v>
      </c>
      <c r="E897" s="23" t="s">
        <v>262</v>
      </c>
      <c r="F897" s="19" t="str">
        <f t="shared" si="3"/>
        <v>Medium</v>
      </c>
      <c r="G897" s="19">
        <v>519100</v>
      </c>
      <c r="H897" s="19" t="str">
        <f>IF(' BENGALURU HOUSE PRICE'!$G897&lt;=500000,"Low",
IF(' BENGALURU HOUSE PRICE'!$G897&lt;=1000000,"Medium",
IF(' BENGALURU HOUSE PRICE'!$G897&lt;=3000000,"High","Luxury")))</f>
        <v>Medium</v>
      </c>
    </row>
    <row r="898" spans="1:8" ht="15.75" customHeight="1" x14ac:dyDescent="0.25">
      <c r="A898" s="19" t="s">
        <v>15</v>
      </c>
      <c r="B898" s="19">
        <v>1070</v>
      </c>
      <c r="C898" s="19">
        <v>2</v>
      </c>
      <c r="D898" s="19">
        <v>1</v>
      </c>
      <c r="E898" s="23" t="s">
        <v>262</v>
      </c>
      <c r="F898" s="19" t="str">
        <f t="shared" si="3"/>
        <v>Medium</v>
      </c>
      <c r="G898" s="19">
        <v>427900</v>
      </c>
      <c r="H898" s="19" t="str">
        <f>IF(' BENGALURU HOUSE PRICE'!$G898&lt;=500000,"Low",
IF(' BENGALURU HOUSE PRICE'!$G898&lt;=1000000,"Medium",
IF(' BENGALURU HOUSE PRICE'!$G898&lt;=3000000,"High","Luxury")))</f>
        <v>Low</v>
      </c>
    </row>
    <row r="899" spans="1:8" ht="15.75" customHeight="1" x14ac:dyDescent="0.25">
      <c r="A899" s="19" t="s">
        <v>240</v>
      </c>
      <c r="B899" s="19">
        <v>1385</v>
      </c>
      <c r="C899" s="19">
        <v>2</v>
      </c>
      <c r="D899" s="19">
        <v>3</v>
      </c>
      <c r="E899" s="23" t="s">
        <v>262</v>
      </c>
      <c r="F899" s="19" t="str">
        <f t="shared" si="3"/>
        <v>Medium</v>
      </c>
      <c r="G899" s="19">
        <v>800000</v>
      </c>
      <c r="H899" s="19" t="str">
        <f>IF(' BENGALURU HOUSE PRICE'!$G899&lt;=500000,"Low",
IF(' BENGALURU HOUSE PRICE'!$G899&lt;=1000000,"Medium",
IF(' BENGALURU HOUSE PRICE'!$G899&lt;=3000000,"High","Luxury")))</f>
        <v>Medium</v>
      </c>
    </row>
    <row r="900" spans="1:8" ht="15.75" customHeight="1" x14ac:dyDescent="0.25">
      <c r="A900" s="19" t="s">
        <v>240</v>
      </c>
      <c r="B900" s="19">
        <v>1000</v>
      </c>
      <c r="C900" s="19">
        <v>1</v>
      </c>
      <c r="D900" s="19">
        <v>1</v>
      </c>
      <c r="E900" s="23" t="s">
        <v>267</v>
      </c>
      <c r="F900" s="19" t="str">
        <f t="shared" si="3"/>
        <v>Small</v>
      </c>
      <c r="G900" s="19">
        <v>700000</v>
      </c>
      <c r="H900" s="19" t="str">
        <f>IF(' BENGALURU HOUSE PRICE'!$G900&lt;=500000,"Low",
IF(' BENGALURU HOUSE PRICE'!$G900&lt;=1000000,"Medium",
IF(' BENGALURU HOUSE PRICE'!$G900&lt;=3000000,"High","Luxury")))</f>
        <v>Medium</v>
      </c>
    </row>
    <row r="901" spans="1:8" ht="15.75" customHeight="1" x14ac:dyDescent="0.25">
      <c r="A901" s="19" t="s">
        <v>25</v>
      </c>
      <c r="B901" s="19">
        <v>1897</v>
      </c>
      <c r="C901" s="19">
        <v>3</v>
      </c>
      <c r="D901" s="19">
        <v>2</v>
      </c>
      <c r="E901" s="23" t="s">
        <v>27</v>
      </c>
      <c r="F901" s="19" t="str">
        <f t="shared" si="3"/>
        <v>Medium</v>
      </c>
      <c r="G901" s="19">
        <v>1300000</v>
      </c>
      <c r="H901" s="19" t="str">
        <f>IF(' BENGALURU HOUSE PRICE'!$G901&lt;=500000,"Low",
IF(' BENGALURU HOUSE PRICE'!$G901&lt;=1000000,"Medium",
IF(' BENGALURU HOUSE PRICE'!$G901&lt;=3000000,"High","Luxury")))</f>
        <v>High</v>
      </c>
    </row>
    <row r="902" spans="1:8" ht="15.75" customHeight="1" x14ac:dyDescent="0.25">
      <c r="A902" s="19" t="s">
        <v>168</v>
      </c>
      <c r="B902" s="19">
        <v>1005</v>
      </c>
      <c r="C902" s="19">
        <v>2</v>
      </c>
      <c r="D902" s="19">
        <v>1</v>
      </c>
      <c r="E902" s="23" t="s">
        <v>262</v>
      </c>
      <c r="F902" s="19" t="str">
        <f t="shared" si="3"/>
        <v>Medium</v>
      </c>
      <c r="G902" s="19">
        <v>557800</v>
      </c>
      <c r="H902" s="19" t="str">
        <f>IF(' BENGALURU HOUSE PRICE'!$G902&lt;=500000,"Low",
IF(' BENGALURU HOUSE PRICE'!$G902&lt;=1000000,"Medium",
IF(' BENGALURU HOUSE PRICE'!$G902&lt;=3000000,"High","Luxury")))</f>
        <v>Medium</v>
      </c>
    </row>
    <row r="903" spans="1:8" ht="15.75" customHeight="1" x14ac:dyDescent="0.25">
      <c r="A903" s="19" t="s">
        <v>105</v>
      </c>
      <c r="B903" s="19">
        <v>1575</v>
      </c>
      <c r="C903" s="19">
        <v>3</v>
      </c>
      <c r="D903" s="19">
        <v>2</v>
      </c>
      <c r="E903" s="23" t="s">
        <v>27</v>
      </c>
      <c r="F903" s="19" t="str">
        <f t="shared" si="3"/>
        <v>Medium</v>
      </c>
      <c r="G903" s="19">
        <v>1250000</v>
      </c>
      <c r="H903" s="19" t="str">
        <f>IF(' BENGALURU HOUSE PRICE'!$G903&lt;=500000,"Low",
IF(' BENGALURU HOUSE PRICE'!$G903&lt;=1000000,"Medium",
IF(' BENGALURU HOUSE PRICE'!$G903&lt;=3000000,"High","Luxury")))</f>
        <v>High</v>
      </c>
    </row>
    <row r="904" spans="1:8" ht="15.75" customHeight="1" x14ac:dyDescent="0.25">
      <c r="A904" s="19" t="s">
        <v>361</v>
      </c>
      <c r="B904" s="19">
        <v>975</v>
      </c>
      <c r="C904" s="19">
        <v>2</v>
      </c>
      <c r="D904" s="19">
        <v>1</v>
      </c>
      <c r="E904" s="23" t="s">
        <v>262</v>
      </c>
      <c r="F904" s="19" t="str">
        <f t="shared" si="3"/>
        <v>Small</v>
      </c>
      <c r="G904" s="19">
        <v>650000</v>
      </c>
      <c r="H904" s="19" t="str">
        <f>IF(' BENGALURU HOUSE PRICE'!$G904&lt;=500000,"Low",
IF(' BENGALURU HOUSE PRICE'!$G904&lt;=1000000,"Medium",
IF(' BENGALURU HOUSE PRICE'!$G904&lt;=3000000,"High","Luxury")))</f>
        <v>Medium</v>
      </c>
    </row>
    <row r="905" spans="1:8" ht="15.75" customHeight="1" x14ac:dyDescent="0.25">
      <c r="A905" s="19" t="s">
        <v>111</v>
      </c>
      <c r="B905" s="19">
        <v>1904</v>
      </c>
      <c r="C905" s="19">
        <v>3</v>
      </c>
      <c r="D905" s="19">
        <v>2</v>
      </c>
      <c r="E905" s="23" t="s">
        <v>27</v>
      </c>
      <c r="F905" s="19" t="str">
        <f t="shared" si="3"/>
        <v>Medium</v>
      </c>
      <c r="G905" s="19">
        <v>1200000</v>
      </c>
      <c r="H905" s="19" t="str">
        <f>IF(' BENGALURU HOUSE PRICE'!$G905&lt;=500000,"Low",
IF(' BENGALURU HOUSE PRICE'!$G905&lt;=1000000,"Medium",
IF(' BENGALURU HOUSE PRICE'!$G905&lt;=3000000,"High","Luxury")))</f>
        <v>High</v>
      </c>
    </row>
    <row r="906" spans="1:8" ht="15.75" customHeight="1" x14ac:dyDescent="0.25">
      <c r="A906" s="19" t="s">
        <v>149</v>
      </c>
      <c r="B906" s="19">
        <v>930</v>
      </c>
      <c r="C906" s="19">
        <v>1</v>
      </c>
      <c r="D906" s="19">
        <v>1</v>
      </c>
      <c r="E906" s="23" t="s">
        <v>267</v>
      </c>
      <c r="F906" s="19" t="str">
        <f t="shared" si="3"/>
        <v>Small</v>
      </c>
      <c r="G906" s="19">
        <v>300000</v>
      </c>
      <c r="H906" s="19" t="str">
        <f>IF(' BENGALURU HOUSE PRICE'!$G906&lt;=500000,"Low",
IF(' BENGALURU HOUSE PRICE'!$G906&lt;=1000000,"Medium",
IF(' BENGALURU HOUSE PRICE'!$G906&lt;=3000000,"High","Luxury")))</f>
        <v>Low</v>
      </c>
    </row>
    <row r="907" spans="1:8" ht="15.75" customHeight="1" x14ac:dyDescent="0.25">
      <c r="A907" s="19" t="s">
        <v>19</v>
      </c>
      <c r="B907" s="19">
        <v>525</v>
      </c>
      <c r="C907" s="19">
        <v>1</v>
      </c>
      <c r="D907" s="19">
        <v>1</v>
      </c>
      <c r="E907" s="23" t="s">
        <v>267</v>
      </c>
      <c r="F907" s="19" t="str">
        <f t="shared" si="3"/>
        <v>Small</v>
      </c>
      <c r="G907" s="19">
        <v>260000</v>
      </c>
      <c r="H907" s="19" t="str">
        <f>IF(' BENGALURU HOUSE PRICE'!$G907&lt;=500000,"Low",
IF(' BENGALURU HOUSE PRICE'!$G907&lt;=1000000,"Medium",
IF(' BENGALURU HOUSE PRICE'!$G907&lt;=3000000,"High","Luxury")))</f>
        <v>Low</v>
      </c>
    </row>
    <row r="908" spans="1:8" ht="15.75" customHeight="1" x14ac:dyDescent="0.25">
      <c r="A908" s="19" t="s">
        <v>433</v>
      </c>
      <c r="B908" s="19">
        <v>686</v>
      </c>
      <c r="C908" s="19">
        <v>1</v>
      </c>
      <c r="D908" s="19">
        <v>1</v>
      </c>
      <c r="E908" s="23" t="s">
        <v>267</v>
      </c>
      <c r="F908" s="19" t="str">
        <f t="shared" si="3"/>
        <v>Small</v>
      </c>
      <c r="G908" s="19">
        <v>170000</v>
      </c>
      <c r="H908" s="19" t="str">
        <f>IF(' BENGALURU HOUSE PRICE'!$G908&lt;=500000,"Low",
IF(' BENGALURU HOUSE PRICE'!$G908&lt;=1000000,"Medium",
IF(' BENGALURU HOUSE PRICE'!$G908&lt;=3000000,"High","Luxury")))</f>
        <v>Low</v>
      </c>
    </row>
    <row r="909" spans="1:8" ht="15.75" customHeight="1" x14ac:dyDescent="0.25">
      <c r="A909" s="19" t="s">
        <v>96</v>
      </c>
      <c r="B909" s="19">
        <v>2400</v>
      </c>
      <c r="C909" s="19">
        <v>3</v>
      </c>
      <c r="D909" s="19">
        <v>1</v>
      </c>
      <c r="E909" s="23" t="s">
        <v>262</v>
      </c>
      <c r="F909" s="19" t="str">
        <f t="shared" si="3"/>
        <v>Large</v>
      </c>
      <c r="G909" s="19">
        <v>1500000</v>
      </c>
      <c r="H909" s="19" t="str">
        <f>IF(' BENGALURU HOUSE PRICE'!$G909&lt;=500000,"Low",
IF(' BENGALURU HOUSE PRICE'!$G909&lt;=1000000,"Medium",
IF(' BENGALURU HOUSE PRICE'!$G909&lt;=3000000,"High","Luxury")))</f>
        <v>High</v>
      </c>
    </row>
    <row r="910" spans="1:8" ht="15.75" customHeight="1" x14ac:dyDescent="0.25">
      <c r="A910" s="19" t="s">
        <v>32</v>
      </c>
      <c r="B910" s="19">
        <v>1410</v>
      </c>
      <c r="C910" s="19">
        <v>1</v>
      </c>
      <c r="D910" s="19">
        <v>0</v>
      </c>
      <c r="E910" s="23" t="s">
        <v>262</v>
      </c>
      <c r="F910" s="19" t="str">
        <f t="shared" si="3"/>
        <v>Medium</v>
      </c>
      <c r="G910" s="19">
        <v>2330000</v>
      </c>
      <c r="H910" s="19" t="str">
        <f>IF(' BENGALURU HOUSE PRICE'!$G910&lt;=500000,"Low",
IF(' BENGALURU HOUSE PRICE'!$G910&lt;=1000000,"Medium",
IF(' BENGALURU HOUSE PRICE'!$G910&lt;=3000000,"High","Luxury")))</f>
        <v>High</v>
      </c>
    </row>
    <row r="911" spans="1:8" ht="15.75" customHeight="1" x14ac:dyDescent="0.25">
      <c r="A911" s="19" t="s">
        <v>22</v>
      </c>
      <c r="B911" s="19">
        <v>2238</v>
      </c>
      <c r="C911" s="19">
        <v>3</v>
      </c>
      <c r="D911" s="19">
        <v>1</v>
      </c>
      <c r="E911" s="23" t="s">
        <v>27</v>
      </c>
      <c r="F911" s="19" t="str">
        <f t="shared" si="3"/>
        <v>Large</v>
      </c>
      <c r="G911" s="19">
        <v>1400000</v>
      </c>
      <c r="H911" s="19" t="str">
        <f>IF(' BENGALURU HOUSE PRICE'!$G911&lt;=500000,"Low",
IF(' BENGALURU HOUSE PRICE'!$G911&lt;=1000000,"Medium",
IF(' BENGALURU HOUSE PRICE'!$G911&lt;=3000000,"High","Luxury")))</f>
        <v>High</v>
      </c>
    </row>
    <row r="912" spans="1:8" ht="15.75" customHeight="1" x14ac:dyDescent="0.25">
      <c r="A912" s="19" t="s">
        <v>108</v>
      </c>
      <c r="B912" s="19">
        <v>1174</v>
      </c>
      <c r="C912" s="19">
        <v>2</v>
      </c>
      <c r="D912" s="19">
        <v>1</v>
      </c>
      <c r="E912" s="23" t="s">
        <v>262</v>
      </c>
      <c r="F912" s="19" t="str">
        <f t="shared" si="3"/>
        <v>Medium</v>
      </c>
      <c r="G912" s="19">
        <v>690000</v>
      </c>
      <c r="H912" s="19" t="str">
        <f>IF(' BENGALURU HOUSE PRICE'!$G912&lt;=500000,"Low",
IF(' BENGALURU HOUSE PRICE'!$G912&lt;=1000000,"Medium",
IF(' BENGALURU HOUSE PRICE'!$G912&lt;=3000000,"High","Luxury")))</f>
        <v>Medium</v>
      </c>
    </row>
    <row r="913" spans="1:8" ht="15.75" customHeight="1" x14ac:dyDescent="0.25">
      <c r="A913" s="19" t="s">
        <v>434</v>
      </c>
      <c r="B913" s="19">
        <v>3800</v>
      </c>
      <c r="C913" s="19">
        <v>4</v>
      </c>
      <c r="D913" s="19">
        <v>3</v>
      </c>
      <c r="E913" s="23" t="s">
        <v>264</v>
      </c>
      <c r="F913" s="19" t="str">
        <f t="shared" si="3"/>
        <v>Large</v>
      </c>
      <c r="G913" s="19">
        <v>2390000</v>
      </c>
      <c r="H913" s="19" t="str">
        <f>IF(' BENGALURU HOUSE PRICE'!$G913&lt;=500000,"Low",
IF(' BENGALURU HOUSE PRICE'!$G913&lt;=1000000,"Medium",
IF(' BENGALURU HOUSE PRICE'!$G913&lt;=3000000,"High","Luxury")))</f>
        <v>High</v>
      </c>
    </row>
    <row r="914" spans="1:8" ht="15.75" customHeight="1" x14ac:dyDescent="0.25">
      <c r="A914" s="19" t="s">
        <v>25</v>
      </c>
      <c r="B914" s="19">
        <v>2225</v>
      </c>
      <c r="C914" s="19">
        <v>2</v>
      </c>
      <c r="D914" s="19">
        <v>1</v>
      </c>
      <c r="E914" s="23" t="s">
        <v>27</v>
      </c>
      <c r="F914" s="19" t="str">
        <f t="shared" si="3"/>
        <v>Large</v>
      </c>
      <c r="G914" s="19">
        <v>1250000</v>
      </c>
      <c r="H914" s="19" t="str">
        <f>IF(' BENGALURU HOUSE PRICE'!$G914&lt;=500000,"Low",
IF(' BENGALURU HOUSE PRICE'!$G914&lt;=1000000,"Medium",
IF(' BENGALURU HOUSE PRICE'!$G914&lt;=3000000,"High","Luxury")))</f>
        <v>High</v>
      </c>
    </row>
    <row r="915" spans="1:8" ht="15.75" customHeight="1" x14ac:dyDescent="0.25">
      <c r="A915" s="19" t="s">
        <v>435</v>
      </c>
      <c r="B915" s="19">
        <v>1250</v>
      </c>
      <c r="C915" s="19">
        <v>2</v>
      </c>
      <c r="D915" s="19">
        <v>0</v>
      </c>
      <c r="E915" s="23" t="s">
        <v>262</v>
      </c>
      <c r="F915" s="19" t="str">
        <f t="shared" si="3"/>
        <v>Medium</v>
      </c>
      <c r="G915" s="19">
        <v>2000000</v>
      </c>
      <c r="H915" s="19" t="str">
        <f>IF(' BENGALURU HOUSE PRICE'!$G915&lt;=500000,"Low",
IF(' BENGALURU HOUSE PRICE'!$G915&lt;=1000000,"Medium",
IF(' BENGALURU HOUSE PRICE'!$G915&lt;=3000000,"High","Luxury")))</f>
        <v>High</v>
      </c>
    </row>
    <row r="916" spans="1:8" ht="15.75" customHeight="1" x14ac:dyDescent="0.25">
      <c r="A916" s="19" t="s">
        <v>133</v>
      </c>
      <c r="B916" s="19">
        <v>918</v>
      </c>
      <c r="C916" s="19">
        <v>2</v>
      </c>
      <c r="D916" s="19">
        <v>2</v>
      </c>
      <c r="E916" s="23" t="s">
        <v>262</v>
      </c>
      <c r="F916" s="19" t="str">
        <f t="shared" si="3"/>
        <v>Small</v>
      </c>
      <c r="G916" s="19">
        <v>520000</v>
      </c>
      <c r="H916" s="19" t="str">
        <f>IF(' BENGALURU HOUSE PRICE'!$G916&lt;=500000,"Low",
IF(' BENGALURU HOUSE PRICE'!$G916&lt;=1000000,"Medium",
IF(' BENGALURU HOUSE PRICE'!$G916&lt;=3000000,"High","Luxury")))</f>
        <v>Medium</v>
      </c>
    </row>
    <row r="917" spans="1:8" ht="15.75" customHeight="1" x14ac:dyDescent="0.25">
      <c r="A917" s="19" t="s">
        <v>169</v>
      </c>
      <c r="B917" s="19">
        <v>1250</v>
      </c>
      <c r="C917" s="19">
        <v>2</v>
      </c>
      <c r="D917" s="19">
        <v>3</v>
      </c>
      <c r="E917" s="23" t="s">
        <v>262</v>
      </c>
      <c r="F917" s="19" t="str">
        <f t="shared" si="3"/>
        <v>Medium</v>
      </c>
      <c r="G917" s="19">
        <v>520000</v>
      </c>
      <c r="H917" s="19" t="str">
        <f>IF(' BENGALURU HOUSE PRICE'!$G917&lt;=500000,"Low",
IF(' BENGALURU HOUSE PRICE'!$G917&lt;=1000000,"Medium",
IF(' BENGALURU HOUSE PRICE'!$G917&lt;=3000000,"High","Luxury")))</f>
        <v>Medium</v>
      </c>
    </row>
    <row r="918" spans="1:8" ht="15.75" customHeight="1" x14ac:dyDescent="0.25">
      <c r="A918" s="19" t="s">
        <v>22</v>
      </c>
      <c r="B918" s="19">
        <v>1800</v>
      </c>
      <c r="C918" s="19">
        <v>3</v>
      </c>
      <c r="D918" s="19">
        <v>2</v>
      </c>
      <c r="E918" s="23" t="s">
        <v>27</v>
      </c>
      <c r="F918" s="19" t="str">
        <f t="shared" si="3"/>
        <v>Medium</v>
      </c>
      <c r="G918" s="19">
        <v>1100000</v>
      </c>
      <c r="H918" s="19" t="str">
        <f>IF(' BENGALURU HOUSE PRICE'!$G918&lt;=500000,"Low",
IF(' BENGALURU HOUSE PRICE'!$G918&lt;=1000000,"Medium",
IF(' BENGALURU HOUSE PRICE'!$G918&lt;=3000000,"High","Luxury")))</f>
        <v>High</v>
      </c>
    </row>
    <row r="919" spans="1:8" ht="15.75" customHeight="1" x14ac:dyDescent="0.25">
      <c r="A919" s="19" t="s">
        <v>20</v>
      </c>
      <c r="B919" s="19">
        <v>1170</v>
      </c>
      <c r="C919" s="19">
        <v>2</v>
      </c>
      <c r="D919" s="19">
        <v>3</v>
      </c>
      <c r="E919" s="23" t="s">
        <v>262</v>
      </c>
      <c r="F919" s="19" t="str">
        <f t="shared" si="3"/>
        <v>Medium</v>
      </c>
      <c r="G919" s="19">
        <v>530000</v>
      </c>
      <c r="H919" s="19" t="str">
        <f>IF(' BENGALURU HOUSE PRICE'!$G919&lt;=500000,"Low",
IF(' BENGALURU HOUSE PRICE'!$G919&lt;=1000000,"Medium",
IF(' BENGALURU HOUSE PRICE'!$G919&lt;=3000000,"High","Luxury")))</f>
        <v>Medium</v>
      </c>
    </row>
    <row r="920" spans="1:8" ht="15.75" customHeight="1" x14ac:dyDescent="0.25">
      <c r="A920" s="19" t="s">
        <v>71</v>
      </c>
      <c r="B920" s="19">
        <v>1300</v>
      </c>
      <c r="C920" s="19">
        <v>1</v>
      </c>
      <c r="D920" s="19">
        <v>0</v>
      </c>
      <c r="E920" s="23" t="s">
        <v>267</v>
      </c>
      <c r="F920" s="19" t="str">
        <f t="shared" si="3"/>
        <v>Medium</v>
      </c>
      <c r="G920" s="19">
        <v>2000000</v>
      </c>
      <c r="H920" s="19" t="str">
        <f>IF(' BENGALURU HOUSE PRICE'!$G920&lt;=500000,"Low",
IF(' BENGALURU HOUSE PRICE'!$G920&lt;=1000000,"Medium",
IF(' BENGALURU HOUSE PRICE'!$G920&lt;=3000000,"High","Luxury")))</f>
        <v>High</v>
      </c>
    </row>
    <row r="921" spans="1:8" ht="15.75" customHeight="1" x14ac:dyDescent="0.25">
      <c r="A921" s="19" t="s">
        <v>52</v>
      </c>
      <c r="B921" s="19">
        <v>793</v>
      </c>
      <c r="C921" s="19">
        <v>2</v>
      </c>
      <c r="D921" s="19">
        <v>1</v>
      </c>
      <c r="E921" s="23" t="s">
        <v>262</v>
      </c>
      <c r="F921" s="19" t="str">
        <f t="shared" si="3"/>
        <v>Small</v>
      </c>
      <c r="G921" s="19">
        <v>450000</v>
      </c>
      <c r="H921" s="19" t="str">
        <f>IF(' BENGALURU HOUSE PRICE'!$G921&lt;=500000,"Low",
IF(' BENGALURU HOUSE PRICE'!$G921&lt;=1000000,"Medium",
IF(' BENGALURU HOUSE PRICE'!$G921&lt;=3000000,"High","Luxury")))</f>
        <v>Low</v>
      </c>
    </row>
    <row r="922" spans="1:8" ht="15.75" customHeight="1" x14ac:dyDescent="0.25">
      <c r="A922" s="19" t="s">
        <v>129</v>
      </c>
      <c r="B922" s="19">
        <v>1710</v>
      </c>
      <c r="C922" s="19">
        <v>3</v>
      </c>
      <c r="D922" s="19">
        <v>2</v>
      </c>
      <c r="E922" s="23" t="s">
        <v>27</v>
      </c>
      <c r="F922" s="19" t="str">
        <f t="shared" si="3"/>
        <v>Medium</v>
      </c>
      <c r="G922" s="19">
        <v>1070000</v>
      </c>
      <c r="H922" s="19" t="str">
        <f>IF(' BENGALURU HOUSE PRICE'!$G922&lt;=500000,"Low",
IF(' BENGALURU HOUSE PRICE'!$G922&lt;=1000000,"Medium",
IF(' BENGALURU HOUSE PRICE'!$G922&lt;=3000000,"High","Luxury")))</f>
        <v>High</v>
      </c>
    </row>
    <row r="923" spans="1:8" ht="15.75" customHeight="1" x14ac:dyDescent="0.25">
      <c r="A923" s="19" t="s">
        <v>141</v>
      </c>
      <c r="B923" s="19">
        <v>1082</v>
      </c>
      <c r="C923" s="19">
        <v>2</v>
      </c>
      <c r="D923" s="19">
        <v>1</v>
      </c>
      <c r="E923" s="23" t="s">
        <v>27</v>
      </c>
      <c r="F923" s="19" t="str">
        <f t="shared" si="3"/>
        <v>Medium</v>
      </c>
      <c r="G923" s="19">
        <v>575000</v>
      </c>
      <c r="H923" s="19" t="str">
        <f>IF(' BENGALURU HOUSE PRICE'!$G923&lt;=500000,"Low",
IF(' BENGALURU HOUSE PRICE'!$G923&lt;=1000000,"Medium",
IF(' BENGALURU HOUSE PRICE'!$G923&lt;=3000000,"High","Luxury")))</f>
        <v>Medium</v>
      </c>
    </row>
    <row r="924" spans="1:8" ht="15.75" customHeight="1" x14ac:dyDescent="0.25">
      <c r="A924" s="19" t="s">
        <v>436</v>
      </c>
      <c r="B924" s="19">
        <v>1001</v>
      </c>
      <c r="C924" s="19">
        <v>2</v>
      </c>
      <c r="D924" s="19">
        <v>2</v>
      </c>
      <c r="E924" s="23" t="s">
        <v>262</v>
      </c>
      <c r="F924" s="19" t="str">
        <f t="shared" si="3"/>
        <v>Medium</v>
      </c>
      <c r="G924" s="19">
        <v>330300</v>
      </c>
      <c r="H924" s="19" t="str">
        <f>IF(' BENGALURU HOUSE PRICE'!$G924&lt;=500000,"Low",
IF(' BENGALURU HOUSE PRICE'!$G924&lt;=1000000,"Medium",
IF(' BENGALURU HOUSE PRICE'!$G924&lt;=3000000,"High","Luxury")))</f>
        <v>Low</v>
      </c>
    </row>
    <row r="925" spans="1:8" ht="15.75" customHeight="1" x14ac:dyDescent="0.25">
      <c r="A925" s="19" t="s">
        <v>220</v>
      </c>
      <c r="B925" s="19">
        <v>1500</v>
      </c>
      <c r="C925" s="19">
        <v>4</v>
      </c>
      <c r="D925" s="19">
        <v>2</v>
      </c>
      <c r="E925" s="23" t="s">
        <v>264</v>
      </c>
      <c r="F925" s="19" t="str">
        <f t="shared" si="3"/>
        <v>Medium</v>
      </c>
      <c r="G925" s="19">
        <v>1800000</v>
      </c>
      <c r="H925" s="19" t="str">
        <f>IF(' BENGALURU HOUSE PRICE'!$G925&lt;=500000,"Low",
IF(' BENGALURU HOUSE PRICE'!$G925&lt;=1000000,"Medium",
IF(' BENGALURU HOUSE PRICE'!$G925&lt;=3000000,"High","Luxury")))</f>
        <v>High</v>
      </c>
    </row>
    <row r="926" spans="1:8" ht="15.75" customHeight="1" x14ac:dyDescent="0.25">
      <c r="A926" s="19" t="s">
        <v>26</v>
      </c>
      <c r="B926" s="19">
        <v>1590</v>
      </c>
      <c r="C926" s="19">
        <v>2</v>
      </c>
      <c r="D926" s="19">
        <v>1</v>
      </c>
      <c r="E926" s="23" t="s">
        <v>27</v>
      </c>
      <c r="F926" s="19" t="str">
        <f t="shared" si="3"/>
        <v>Medium</v>
      </c>
      <c r="G926" s="19">
        <v>540000</v>
      </c>
      <c r="H926" s="19" t="str">
        <f>IF(' BENGALURU HOUSE PRICE'!$G926&lt;=500000,"Low",
IF(' BENGALURU HOUSE PRICE'!$G926&lt;=1000000,"Medium",
IF(' BENGALURU HOUSE PRICE'!$G926&lt;=3000000,"High","Luxury")))</f>
        <v>Medium</v>
      </c>
    </row>
    <row r="927" spans="1:8" ht="15.75" customHeight="1" x14ac:dyDescent="0.25">
      <c r="A927" s="19" t="s">
        <v>53</v>
      </c>
      <c r="B927" s="19">
        <v>2400</v>
      </c>
      <c r="C927" s="19">
        <v>2</v>
      </c>
      <c r="D927" s="19">
        <v>0</v>
      </c>
      <c r="E927" s="23" t="s">
        <v>27</v>
      </c>
      <c r="F927" s="19" t="str">
        <f t="shared" si="3"/>
        <v>Large</v>
      </c>
      <c r="G927" s="19">
        <v>800000</v>
      </c>
      <c r="H927" s="19" t="str">
        <f>IF(' BENGALURU HOUSE PRICE'!$G927&lt;=500000,"Low",
IF(' BENGALURU HOUSE PRICE'!$G927&lt;=1000000,"Medium",
IF(' BENGALURU HOUSE PRICE'!$G927&lt;=3000000,"High","Luxury")))</f>
        <v>Medium</v>
      </c>
    </row>
    <row r="928" spans="1:8" ht="15.75" customHeight="1" x14ac:dyDescent="0.25">
      <c r="A928" s="19" t="s">
        <v>116</v>
      </c>
      <c r="B928" s="19">
        <v>1554</v>
      </c>
      <c r="C928" s="19">
        <v>3</v>
      </c>
      <c r="D928" s="19">
        <v>2</v>
      </c>
      <c r="E928" s="23" t="s">
        <v>27</v>
      </c>
      <c r="F928" s="19" t="str">
        <f t="shared" si="3"/>
        <v>Medium</v>
      </c>
      <c r="G928" s="19">
        <v>550000</v>
      </c>
      <c r="H928" s="19" t="str">
        <f>IF(' BENGALURU HOUSE PRICE'!$G928&lt;=500000,"Low",
IF(' BENGALURU HOUSE PRICE'!$G928&lt;=1000000,"Medium",
IF(' BENGALURU HOUSE PRICE'!$G928&lt;=3000000,"High","Luxury")))</f>
        <v>Medium</v>
      </c>
    </row>
    <row r="929" spans="1:8" ht="15.75" customHeight="1" x14ac:dyDescent="0.25">
      <c r="A929" s="19" t="s">
        <v>23</v>
      </c>
      <c r="B929" s="19">
        <v>1559</v>
      </c>
      <c r="C929" s="19">
        <v>2</v>
      </c>
      <c r="D929" s="19">
        <v>0</v>
      </c>
      <c r="E929" s="23" t="s">
        <v>262</v>
      </c>
      <c r="F929" s="19" t="str">
        <f t="shared" si="3"/>
        <v>Medium</v>
      </c>
      <c r="G929" s="19">
        <v>434150</v>
      </c>
      <c r="H929" s="19" t="str">
        <f>IF(' BENGALURU HOUSE PRICE'!$G929&lt;=500000,"Low",
IF(' BENGALURU HOUSE PRICE'!$G929&lt;=1000000,"Medium",
IF(' BENGALURU HOUSE PRICE'!$G929&lt;=3000000,"High","Luxury")))</f>
        <v>Low</v>
      </c>
    </row>
    <row r="930" spans="1:8" ht="15.75" customHeight="1" x14ac:dyDescent="0.25">
      <c r="A930" s="19" t="s">
        <v>59</v>
      </c>
      <c r="B930" s="19">
        <v>4239</v>
      </c>
      <c r="C930" s="19">
        <v>5</v>
      </c>
      <c r="D930" s="19">
        <v>2</v>
      </c>
      <c r="E930" s="23" t="s">
        <v>292</v>
      </c>
      <c r="F930" s="19" t="str">
        <f t="shared" si="3"/>
        <v>Large</v>
      </c>
      <c r="G930" s="19">
        <v>4230000</v>
      </c>
      <c r="H930" s="19" t="str">
        <f>IF(' BENGALURU HOUSE PRICE'!$G930&lt;=500000,"Low",
IF(' BENGALURU HOUSE PRICE'!$G930&lt;=1000000,"Medium",
IF(' BENGALURU HOUSE PRICE'!$G930&lt;=3000000,"High","Luxury")))</f>
        <v>Luxury</v>
      </c>
    </row>
    <row r="931" spans="1:8" ht="15.75" customHeight="1" x14ac:dyDescent="0.25">
      <c r="A931" s="19" t="s">
        <v>156</v>
      </c>
      <c r="B931" s="19">
        <v>884</v>
      </c>
      <c r="C931" s="19">
        <v>1</v>
      </c>
      <c r="D931" s="19">
        <v>0</v>
      </c>
      <c r="E931" s="23" t="s">
        <v>262</v>
      </c>
      <c r="F931" s="19" t="str">
        <f t="shared" si="3"/>
        <v>Small</v>
      </c>
      <c r="G931" s="19">
        <v>580000</v>
      </c>
      <c r="H931" s="19" t="str">
        <f>IF(' BENGALURU HOUSE PRICE'!$G931&lt;=500000,"Low",
IF(' BENGALURU HOUSE PRICE'!$G931&lt;=1000000,"Medium",
IF(' BENGALURU HOUSE PRICE'!$G931&lt;=3000000,"High","Luxury")))</f>
        <v>Medium</v>
      </c>
    </row>
    <row r="932" spans="1:8" ht="15.75" customHeight="1" x14ac:dyDescent="0.25">
      <c r="A932" s="19" t="s">
        <v>117</v>
      </c>
      <c r="B932" s="19">
        <v>1045</v>
      </c>
      <c r="C932" s="19">
        <v>2</v>
      </c>
      <c r="D932" s="19">
        <v>1</v>
      </c>
      <c r="E932" s="23" t="s">
        <v>262</v>
      </c>
      <c r="F932" s="19" t="str">
        <f t="shared" si="3"/>
        <v>Medium</v>
      </c>
      <c r="G932" s="19">
        <v>988900</v>
      </c>
      <c r="H932" s="19" t="str">
        <f>IF(' BENGALURU HOUSE PRICE'!$G932&lt;=500000,"Low",
IF(' BENGALURU HOUSE PRICE'!$G932&lt;=1000000,"Medium",
IF(' BENGALURU HOUSE PRICE'!$G932&lt;=3000000,"High","Luxury")))</f>
        <v>Medium</v>
      </c>
    </row>
    <row r="933" spans="1:8" ht="15.75" customHeight="1" x14ac:dyDescent="0.25">
      <c r="A933" s="19" t="s">
        <v>20</v>
      </c>
      <c r="B933" s="19">
        <v>1019</v>
      </c>
      <c r="C933" s="19">
        <v>2</v>
      </c>
      <c r="D933" s="19">
        <v>2</v>
      </c>
      <c r="E933" s="23" t="s">
        <v>262</v>
      </c>
      <c r="F933" s="19" t="str">
        <f t="shared" si="3"/>
        <v>Medium</v>
      </c>
      <c r="G933" s="19">
        <v>498600</v>
      </c>
      <c r="H933" s="19" t="str">
        <f>IF(' BENGALURU HOUSE PRICE'!$G933&lt;=500000,"Low",
IF(' BENGALURU HOUSE PRICE'!$G933&lt;=1000000,"Medium",
IF(' BENGALURU HOUSE PRICE'!$G933&lt;=3000000,"High","Luxury")))</f>
        <v>Low</v>
      </c>
    </row>
    <row r="934" spans="1:8" ht="15.75" customHeight="1" x14ac:dyDescent="0.25">
      <c r="A934" s="19" t="s">
        <v>38</v>
      </c>
      <c r="B934" s="19">
        <v>1935</v>
      </c>
      <c r="C934" s="19">
        <v>4</v>
      </c>
      <c r="D934" s="19">
        <v>2</v>
      </c>
      <c r="E934" s="23" t="s">
        <v>27</v>
      </c>
      <c r="F934" s="19" t="str">
        <f t="shared" si="3"/>
        <v>Medium</v>
      </c>
      <c r="G934" s="19">
        <v>1300000</v>
      </c>
      <c r="H934" s="19" t="str">
        <f>IF(' BENGALURU HOUSE PRICE'!$G934&lt;=500000,"Low",
IF(' BENGALURU HOUSE PRICE'!$G934&lt;=1000000,"Medium",
IF(' BENGALURU HOUSE PRICE'!$G934&lt;=3000000,"High","Luxury")))</f>
        <v>High</v>
      </c>
    </row>
    <row r="935" spans="1:8" ht="15.75" customHeight="1" x14ac:dyDescent="0.25">
      <c r="A935" s="19" t="s">
        <v>24</v>
      </c>
      <c r="B935" s="19">
        <v>1135</v>
      </c>
      <c r="C935" s="19">
        <v>2</v>
      </c>
      <c r="D935" s="19">
        <v>2</v>
      </c>
      <c r="E935" s="23" t="s">
        <v>27</v>
      </c>
      <c r="F935" s="19" t="str">
        <f t="shared" si="3"/>
        <v>Medium</v>
      </c>
      <c r="G935" s="19">
        <v>397300</v>
      </c>
      <c r="H935" s="19" t="str">
        <f>IF(' BENGALURU HOUSE PRICE'!$G935&lt;=500000,"Low",
IF(' BENGALURU HOUSE PRICE'!$G935&lt;=1000000,"Medium",
IF(' BENGALURU HOUSE PRICE'!$G935&lt;=3000000,"High","Luxury")))</f>
        <v>Low</v>
      </c>
    </row>
    <row r="936" spans="1:8" ht="15.75" customHeight="1" x14ac:dyDescent="0.25">
      <c r="A936" s="19" t="s">
        <v>164</v>
      </c>
      <c r="B936" s="19">
        <v>1680</v>
      </c>
      <c r="C936" s="19">
        <v>3</v>
      </c>
      <c r="D936" s="19">
        <v>2</v>
      </c>
      <c r="E936" s="23" t="s">
        <v>27</v>
      </c>
      <c r="F936" s="19" t="str">
        <f t="shared" si="3"/>
        <v>Medium</v>
      </c>
      <c r="G936" s="19">
        <v>1500000</v>
      </c>
      <c r="H936" s="19" t="str">
        <f>IF(' BENGALURU HOUSE PRICE'!$G936&lt;=500000,"Low",
IF(' BENGALURU HOUSE PRICE'!$G936&lt;=1000000,"Medium",
IF(' BENGALURU HOUSE PRICE'!$G936&lt;=3000000,"High","Luxury")))</f>
        <v>High</v>
      </c>
    </row>
    <row r="937" spans="1:8" ht="15.75" customHeight="1" x14ac:dyDescent="0.25">
      <c r="A937" s="19" t="s">
        <v>18</v>
      </c>
      <c r="B937" s="19">
        <v>2470</v>
      </c>
      <c r="C937" s="19">
        <v>5</v>
      </c>
      <c r="D937" s="19">
        <v>2</v>
      </c>
      <c r="E937" s="23" t="s">
        <v>264</v>
      </c>
      <c r="F937" s="19" t="str">
        <f t="shared" si="3"/>
        <v>Large</v>
      </c>
      <c r="G937" s="19">
        <v>2470000</v>
      </c>
      <c r="H937" s="19" t="str">
        <f>IF(' BENGALURU HOUSE PRICE'!$G937&lt;=500000,"Low",
IF(' BENGALURU HOUSE PRICE'!$G937&lt;=1000000,"Medium",
IF(' BENGALURU HOUSE PRICE'!$G937&lt;=3000000,"High","Luxury")))</f>
        <v>High</v>
      </c>
    </row>
    <row r="938" spans="1:8" ht="15.75" customHeight="1" x14ac:dyDescent="0.25">
      <c r="A938" s="19" t="s">
        <v>437</v>
      </c>
      <c r="B938" s="19">
        <v>2825</v>
      </c>
      <c r="C938" s="19">
        <v>4</v>
      </c>
      <c r="D938" s="19">
        <v>3</v>
      </c>
      <c r="E938" s="23" t="s">
        <v>264</v>
      </c>
      <c r="F938" s="19" t="str">
        <f t="shared" si="3"/>
        <v>Large</v>
      </c>
      <c r="G938" s="19">
        <v>2500000</v>
      </c>
      <c r="H938" s="19" t="str">
        <f>IF(' BENGALURU HOUSE PRICE'!$G938&lt;=500000,"Low",
IF(' BENGALURU HOUSE PRICE'!$G938&lt;=1000000,"Medium",
IF(' BENGALURU HOUSE PRICE'!$G938&lt;=3000000,"High","Luxury")))</f>
        <v>High</v>
      </c>
    </row>
    <row r="939" spans="1:8" ht="15.75" customHeight="1" x14ac:dyDescent="0.25">
      <c r="A939" s="19" t="s">
        <v>119</v>
      </c>
      <c r="B939" s="19">
        <v>2480</v>
      </c>
      <c r="C939" s="19">
        <v>3</v>
      </c>
      <c r="D939" s="19">
        <v>1</v>
      </c>
      <c r="E939" s="23" t="s">
        <v>27</v>
      </c>
      <c r="F939" s="19" t="str">
        <f t="shared" si="3"/>
        <v>Large</v>
      </c>
      <c r="G939" s="19">
        <v>3300000</v>
      </c>
      <c r="H939" s="19" t="str">
        <f>IF(' BENGALURU HOUSE PRICE'!$G939&lt;=500000,"Low",
IF(' BENGALURU HOUSE PRICE'!$G939&lt;=1000000,"Medium",
IF(' BENGALURU HOUSE PRICE'!$G939&lt;=3000000,"High","Luxury")))</f>
        <v>Luxury</v>
      </c>
    </row>
    <row r="940" spans="1:8" ht="15.75" customHeight="1" x14ac:dyDescent="0.25">
      <c r="A940" s="19" t="s">
        <v>337</v>
      </c>
      <c r="B940" s="19">
        <v>1260</v>
      </c>
      <c r="C940" s="19">
        <v>11</v>
      </c>
      <c r="D940" s="19">
        <v>2</v>
      </c>
      <c r="E940" s="23" t="s">
        <v>377</v>
      </c>
      <c r="F940" s="19" t="str">
        <f t="shared" si="3"/>
        <v>Medium</v>
      </c>
      <c r="G940" s="19">
        <v>2900000</v>
      </c>
      <c r="H940" s="19" t="str">
        <f>IF(' BENGALURU HOUSE PRICE'!$G940&lt;=500000,"Low",
IF(' BENGALURU HOUSE PRICE'!$G940&lt;=1000000,"Medium",
IF(' BENGALURU HOUSE PRICE'!$G940&lt;=3000000,"High","Luxury")))</f>
        <v>High</v>
      </c>
    </row>
    <row r="941" spans="1:8" ht="15.75" customHeight="1" x14ac:dyDescent="0.25">
      <c r="A941" s="19" t="s">
        <v>285</v>
      </c>
      <c r="B941" s="19">
        <v>1800</v>
      </c>
      <c r="C941" s="19">
        <v>4</v>
      </c>
      <c r="D941" s="19">
        <v>3</v>
      </c>
      <c r="E941" s="23" t="s">
        <v>292</v>
      </c>
      <c r="F941" s="19" t="str">
        <f t="shared" si="3"/>
        <v>Medium</v>
      </c>
      <c r="G941" s="19">
        <v>1870000</v>
      </c>
      <c r="H941" s="19" t="str">
        <f>IF(' BENGALURU HOUSE PRICE'!$G941&lt;=500000,"Low",
IF(' BENGALURU HOUSE PRICE'!$G941&lt;=1000000,"Medium",
IF(' BENGALURU HOUSE PRICE'!$G941&lt;=3000000,"High","Luxury")))</f>
        <v>High</v>
      </c>
    </row>
    <row r="942" spans="1:8" ht="15.75" customHeight="1" x14ac:dyDescent="0.25">
      <c r="A942" s="19" t="s">
        <v>145</v>
      </c>
      <c r="B942" s="19">
        <v>1799</v>
      </c>
      <c r="C942" s="19">
        <v>3</v>
      </c>
      <c r="D942" s="19">
        <v>3</v>
      </c>
      <c r="E942" s="23" t="s">
        <v>27</v>
      </c>
      <c r="F942" s="19" t="str">
        <f t="shared" si="3"/>
        <v>Medium</v>
      </c>
      <c r="G942" s="19">
        <v>900000</v>
      </c>
      <c r="H942" s="19" t="str">
        <f>IF(' BENGALURU HOUSE PRICE'!$G942&lt;=500000,"Low",
IF(' BENGALURU HOUSE PRICE'!$G942&lt;=1000000,"Medium",
IF(' BENGALURU HOUSE PRICE'!$G942&lt;=3000000,"High","Luxury")))</f>
        <v>Medium</v>
      </c>
    </row>
    <row r="943" spans="1:8" ht="15.75" customHeight="1" x14ac:dyDescent="0.25">
      <c r="A943" s="19" t="s">
        <v>25</v>
      </c>
      <c r="B943" s="19">
        <v>1559</v>
      </c>
      <c r="C943" s="19">
        <v>2</v>
      </c>
      <c r="D943" s="19">
        <v>2</v>
      </c>
      <c r="E943" s="23" t="s">
        <v>264</v>
      </c>
      <c r="F943" s="19" t="str">
        <f t="shared" si="3"/>
        <v>Medium</v>
      </c>
      <c r="G943" s="19">
        <v>3040000</v>
      </c>
      <c r="H943" s="19" t="str">
        <f>IF(' BENGALURU HOUSE PRICE'!$G943&lt;=500000,"Low",
IF(' BENGALURU HOUSE PRICE'!$G943&lt;=1000000,"Medium",
IF(' BENGALURU HOUSE PRICE'!$G943&lt;=3000000,"High","Luxury")))</f>
        <v>Luxury</v>
      </c>
    </row>
    <row r="944" spans="1:8" ht="15.75" customHeight="1" x14ac:dyDescent="0.25">
      <c r="A944" s="19" t="s">
        <v>299</v>
      </c>
      <c r="B944" s="19">
        <v>400</v>
      </c>
      <c r="C944" s="19">
        <v>1</v>
      </c>
      <c r="D944" s="19">
        <v>1</v>
      </c>
      <c r="E944" s="23" t="s">
        <v>267</v>
      </c>
      <c r="F944" s="19" t="str">
        <f t="shared" si="3"/>
        <v>Small</v>
      </c>
      <c r="G944" s="19">
        <v>110000</v>
      </c>
      <c r="H944" s="19" t="str">
        <f>IF(' BENGALURU HOUSE PRICE'!$G944&lt;=500000,"Low",
IF(' BENGALURU HOUSE PRICE'!$G944&lt;=1000000,"Medium",
IF(' BENGALURU HOUSE PRICE'!$G944&lt;=3000000,"High","Luxury")))</f>
        <v>Low</v>
      </c>
    </row>
    <row r="945" spans="1:8" ht="15.75" customHeight="1" x14ac:dyDescent="0.25">
      <c r="A945" s="19" t="s">
        <v>162</v>
      </c>
      <c r="B945" s="19">
        <v>1047</v>
      </c>
      <c r="C945" s="19">
        <v>2</v>
      </c>
      <c r="D945" s="19">
        <v>1</v>
      </c>
      <c r="E945" s="23" t="s">
        <v>262</v>
      </c>
      <c r="F945" s="19" t="str">
        <f t="shared" si="3"/>
        <v>Medium</v>
      </c>
      <c r="G945" s="19">
        <v>820000</v>
      </c>
      <c r="H945" s="19" t="str">
        <f>IF(' BENGALURU HOUSE PRICE'!$G945&lt;=500000,"Low",
IF(' BENGALURU HOUSE PRICE'!$G945&lt;=1000000,"Medium",
IF(' BENGALURU HOUSE PRICE'!$G945&lt;=3000000,"High","Luxury")))</f>
        <v>Medium</v>
      </c>
    </row>
    <row r="946" spans="1:8" ht="15.75" customHeight="1" x14ac:dyDescent="0.25">
      <c r="A946" s="19" t="s">
        <v>438</v>
      </c>
      <c r="B946" s="19">
        <v>1282</v>
      </c>
      <c r="C946" s="19">
        <v>2</v>
      </c>
      <c r="D946" s="19">
        <v>2</v>
      </c>
      <c r="E946" s="23" t="s">
        <v>262</v>
      </c>
      <c r="F946" s="19" t="str">
        <f t="shared" si="3"/>
        <v>Medium</v>
      </c>
      <c r="G946" s="19">
        <v>870000</v>
      </c>
      <c r="H946" s="19" t="str">
        <f>IF(' BENGALURU HOUSE PRICE'!$G946&lt;=500000,"Low",
IF(' BENGALURU HOUSE PRICE'!$G946&lt;=1000000,"Medium",
IF(' BENGALURU HOUSE PRICE'!$G946&lt;=3000000,"High","Luxury")))</f>
        <v>Medium</v>
      </c>
    </row>
    <row r="947" spans="1:8" ht="15.75" customHeight="1" x14ac:dyDescent="0.25">
      <c r="A947" s="19" t="s">
        <v>439</v>
      </c>
      <c r="B947" s="19">
        <v>1020</v>
      </c>
      <c r="C947" s="19">
        <v>2</v>
      </c>
      <c r="D947" s="19">
        <v>1</v>
      </c>
      <c r="E947" s="23" t="s">
        <v>262</v>
      </c>
      <c r="F947" s="19" t="str">
        <f t="shared" si="3"/>
        <v>Medium</v>
      </c>
      <c r="G947" s="19">
        <v>459000</v>
      </c>
      <c r="H947" s="19" t="str">
        <f>IF(' BENGALURU HOUSE PRICE'!$G947&lt;=500000,"Low",
IF(' BENGALURU HOUSE PRICE'!$G947&lt;=1000000,"Medium",
IF(' BENGALURU HOUSE PRICE'!$G947&lt;=3000000,"High","Luxury")))</f>
        <v>Low</v>
      </c>
    </row>
    <row r="948" spans="1:8" ht="15.75" customHeight="1" x14ac:dyDescent="0.25">
      <c r="A948" s="19" t="s">
        <v>379</v>
      </c>
      <c r="B948" s="19">
        <v>1080</v>
      </c>
      <c r="C948" s="19">
        <v>3</v>
      </c>
      <c r="D948" s="19">
        <v>1</v>
      </c>
      <c r="E948" s="23" t="s">
        <v>264</v>
      </c>
      <c r="F948" s="19" t="str">
        <f t="shared" si="3"/>
        <v>Medium</v>
      </c>
      <c r="G948" s="19">
        <v>1550000</v>
      </c>
      <c r="H948" s="19" t="str">
        <f>IF(' BENGALURU HOUSE PRICE'!$G948&lt;=500000,"Low",
IF(' BENGALURU HOUSE PRICE'!$G948&lt;=1000000,"Medium",
IF(' BENGALURU HOUSE PRICE'!$G948&lt;=3000000,"High","Luxury")))</f>
        <v>High</v>
      </c>
    </row>
    <row r="949" spans="1:8" ht="15.75" customHeight="1" x14ac:dyDescent="0.25">
      <c r="A949" s="19" t="s">
        <v>25</v>
      </c>
      <c r="B949" s="19">
        <v>1495</v>
      </c>
      <c r="C949" s="19">
        <v>2</v>
      </c>
      <c r="D949" s="19">
        <v>1</v>
      </c>
      <c r="E949" s="23" t="s">
        <v>262</v>
      </c>
      <c r="F949" s="19" t="str">
        <f t="shared" si="3"/>
        <v>Medium</v>
      </c>
      <c r="G949" s="19">
        <v>795000</v>
      </c>
      <c r="H949" s="19" t="str">
        <f>IF(' BENGALURU HOUSE PRICE'!$G949&lt;=500000,"Low",
IF(' BENGALURU HOUSE PRICE'!$G949&lt;=1000000,"Medium",
IF(' BENGALURU HOUSE PRICE'!$G949&lt;=3000000,"High","Luxury")))</f>
        <v>Medium</v>
      </c>
    </row>
    <row r="950" spans="1:8" ht="15.75" customHeight="1" x14ac:dyDescent="0.25">
      <c r="A950" s="19" t="s">
        <v>145</v>
      </c>
      <c r="B950" s="19">
        <v>3260</v>
      </c>
      <c r="C950" s="19">
        <v>4</v>
      </c>
      <c r="D950" s="19">
        <v>1</v>
      </c>
      <c r="E950" s="23" t="s">
        <v>264</v>
      </c>
      <c r="F950" s="19" t="str">
        <f t="shared" si="3"/>
        <v>Large</v>
      </c>
      <c r="G950" s="19">
        <v>2400000</v>
      </c>
      <c r="H950" s="19" t="str">
        <f>IF(' BENGALURU HOUSE PRICE'!$G950&lt;=500000,"Low",
IF(' BENGALURU HOUSE PRICE'!$G950&lt;=1000000,"Medium",
IF(' BENGALURU HOUSE PRICE'!$G950&lt;=3000000,"High","Luxury")))</f>
        <v>High</v>
      </c>
    </row>
    <row r="951" spans="1:8" ht="15.75" customHeight="1" x14ac:dyDescent="0.25">
      <c r="A951" s="19" t="s">
        <v>88</v>
      </c>
      <c r="B951" s="19">
        <v>1611</v>
      </c>
      <c r="C951" s="19">
        <v>2</v>
      </c>
      <c r="D951" s="19">
        <v>2</v>
      </c>
      <c r="E951" s="23" t="s">
        <v>27</v>
      </c>
      <c r="F951" s="19" t="str">
        <f t="shared" si="3"/>
        <v>Medium</v>
      </c>
      <c r="G951" s="19">
        <v>644400</v>
      </c>
      <c r="H951" s="19" t="str">
        <f>IF(' BENGALURU HOUSE PRICE'!$G951&lt;=500000,"Low",
IF(' BENGALURU HOUSE PRICE'!$G951&lt;=1000000,"Medium",
IF(' BENGALURU HOUSE PRICE'!$G951&lt;=3000000,"High","Luxury")))</f>
        <v>Medium</v>
      </c>
    </row>
    <row r="952" spans="1:8" ht="15.75" customHeight="1" x14ac:dyDescent="0.25">
      <c r="A952" s="19" t="s">
        <v>157</v>
      </c>
      <c r="B952" s="19">
        <v>3500</v>
      </c>
      <c r="C952" s="19">
        <v>5</v>
      </c>
      <c r="D952" s="19">
        <v>2</v>
      </c>
      <c r="E952" s="23" t="s">
        <v>264</v>
      </c>
      <c r="F952" s="19" t="str">
        <f t="shared" si="3"/>
        <v>Large</v>
      </c>
      <c r="G952" s="19">
        <v>4250000</v>
      </c>
      <c r="H952" s="19" t="str">
        <f>IF(' BENGALURU HOUSE PRICE'!$G952&lt;=500000,"Low",
IF(' BENGALURU HOUSE PRICE'!$G952&lt;=1000000,"Medium",
IF(' BENGALURU HOUSE PRICE'!$G952&lt;=3000000,"High","Luxury")))</f>
        <v>Luxury</v>
      </c>
    </row>
    <row r="953" spans="1:8" ht="15.75" customHeight="1" x14ac:dyDescent="0.25">
      <c r="A953" s="19" t="s">
        <v>242</v>
      </c>
      <c r="B953" s="19">
        <v>1500</v>
      </c>
      <c r="C953" s="19">
        <v>2</v>
      </c>
      <c r="D953" s="19">
        <v>2</v>
      </c>
      <c r="E953" s="23" t="s">
        <v>27</v>
      </c>
      <c r="F953" s="19" t="str">
        <f t="shared" si="3"/>
        <v>Medium</v>
      </c>
      <c r="G953" s="19">
        <v>950000</v>
      </c>
      <c r="H953" s="19" t="str">
        <f>IF(' BENGALURU HOUSE PRICE'!$G953&lt;=500000,"Low",
IF(' BENGALURU HOUSE PRICE'!$G953&lt;=1000000,"Medium",
IF(' BENGALURU HOUSE PRICE'!$G953&lt;=3000000,"High","Luxury")))</f>
        <v>Medium</v>
      </c>
    </row>
    <row r="954" spans="1:8" ht="15.75" customHeight="1" x14ac:dyDescent="0.25">
      <c r="A954" s="19" t="s">
        <v>207</v>
      </c>
      <c r="B954" s="19">
        <v>1500</v>
      </c>
      <c r="C954" s="19">
        <v>2</v>
      </c>
      <c r="D954" s="19">
        <v>2</v>
      </c>
      <c r="E954" s="23" t="s">
        <v>27</v>
      </c>
      <c r="F954" s="19" t="str">
        <f t="shared" si="3"/>
        <v>Medium</v>
      </c>
      <c r="G954" s="19">
        <v>950000</v>
      </c>
      <c r="H954" s="19" t="str">
        <f>IF(' BENGALURU HOUSE PRICE'!$G954&lt;=500000,"Low",
IF(' BENGALURU HOUSE PRICE'!$G954&lt;=1000000,"Medium",
IF(' BENGALURU HOUSE PRICE'!$G954&lt;=3000000,"High","Luxury")))</f>
        <v>Medium</v>
      </c>
    </row>
    <row r="955" spans="1:8" ht="15.75" customHeight="1" x14ac:dyDescent="0.25">
      <c r="A955" s="19" t="s">
        <v>26</v>
      </c>
      <c r="B955" s="19">
        <v>3206</v>
      </c>
      <c r="C955" s="19">
        <v>5</v>
      </c>
      <c r="D955" s="19">
        <v>2</v>
      </c>
      <c r="E955" s="23" t="s">
        <v>264</v>
      </c>
      <c r="F955" s="19" t="str">
        <f t="shared" si="3"/>
        <v>Large</v>
      </c>
      <c r="G955" s="19">
        <v>2700000</v>
      </c>
      <c r="H955" s="19" t="str">
        <f>IF(' BENGALURU HOUSE PRICE'!$G955&lt;=500000,"Low",
IF(' BENGALURU HOUSE PRICE'!$G955&lt;=1000000,"Medium",
IF(' BENGALURU HOUSE PRICE'!$G955&lt;=3000000,"High","Luxury")))</f>
        <v>High</v>
      </c>
    </row>
    <row r="956" spans="1:8" ht="15.75" customHeight="1" x14ac:dyDescent="0.25">
      <c r="A956" s="19" t="s">
        <v>24</v>
      </c>
      <c r="B956" s="19">
        <v>1540</v>
      </c>
      <c r="C956" s="19">
        <v>3</v>
      </c>
      <c r="D956" s="19">
        <v>0</v>
      </c>
      <c r="E956" s="23" t="s">
        <v>27</v>
      </c>
      <c r="F956" s="19" t="str">
        <f t="shared" si="3"/>
        <v>Medium</v>
      </c>
      <c r="G956" s="19">
        <v>500000</v>
      </c>
      <c r="H956" s="19" t="str">
        <f>IF(' BENGALURU HOUSE PRICE'!$G956&lt;=500000,"Low",
IF(' BENGALURU HOUSE PRICE'!$G956&lt;=1000000,"Medium",
IF(' BENGALURU HOUSE PRICE'!$G956&lt;=3000000,"High","Luxury")))</f>
        <v>Low</v>
      </c>
    </row>
    <row r="957" spans="1:8" ht="15.75" customHeight="1" x14ac:dyDescent="0.25">
      <c r="A957" s="19" t="s">
        <v>117</v>
      </c>
      <c r="B957" s="19">
        <v>1639</v>
      </c>
      <c r="C957" s="19">
        <v>3</v>
      </c>
      <c r="D957" s="19">
        <v>1</v>
      </c>
      <c r="E957" s="23" t="s">
        <v>27</v>
      </c>
      <c r="F957" s="19" t="str">
        <f t="shared" si="3"/>
        <v>Medium</v>
      </c>
      <c r="G957" s="19">
        <v>800000</v>
      </c>
      <c r="H957" s="19" t="str">
        <f>IF(' BENGALURU HOUSE PRICE'!$G957&lt;=500000,"Low",
IF(' BENGALURU HOUSE PRICE'!$G957&lt;=1000000,"Medium",
IF(' BENGALURU HOUSE PRICE'!$G957&lt;=3000000,"High","Luxury")))</f>
        <v>Medium</v>
      </c>
    </row>
    <row r="958" spans="1:8" ht="15.75" customHeight="1" x14ac:dyDescent="0.25">
      <c r="A958" s="19" t="s">
        <v>20</v>
      </c>
      <c r="B958" s="19">
        <v>700</v>
      </c>
      <c r="C958" s="19">
        <v>4</v>
      </c>
      <c r="D958" s="19">
        <v>2</v>
      </c>
      <c r="E958" s="23" t="s">
        <v>264</v>
      </c>
      <c r="F958" s="19" t="str">
        <f t="shared" si="3"/>
        <v>Small</v>
      </c>
      <c r="G958" s="19">
        <v>720000</v>
      </c>
      <c r="H958" s="19" t="str">
        <f>IF(' BENGALURU HOUSE PRICE'!$G958&lt;=500000,"Low",
IF(' BENGALURU HOUSE PRICE'!$G958&lt;=1000000,"Medium",
IF(' BENGALURU HOUSE PRICE'!$G958&lt;=3000000,"High","Luxury")))</f>
        <v>Medium</v>
      </c>
    </row>
    <row r="959" spans="1:8" ht="15.75" customHeight="1" x14ac:dyDescent="0.25">
      <c r="A959" s="19" t="s">
        <v>21</v>
      </c>
      <c r="B959" s="19">
        <v>1303</v>
      </c>
      <c r="C959" s="19">
        <v>2</v>
      </c>
      <c r="D959" s="19">
        <v>2</v>
      </c>
      <c r="E959" s="23" t="s">
        <v>262</v>
      </c>
      <c r="F959" s="19" t="str">
        <f t="shared" si="3"/>
        <v>Medium</v>
      </c>
      <c r="G959" s="19">
        <v>557900</v>
      </c>
      <c r="H959" s="19" t="str">
        <f>IF(' BENGALURU HOUSE PRICE'!$G959&lt;=500000,"Low",
IF(' BENGALURU HOUSE PRICE'!$G959&lt;=1000000,"Medium",
IF(' BENGALURU HOUSE PRICE'!$G959&lt;=3000000,"High","Luxury")))</f>
        <v>Medium</v>
      </c>
    </row>
    <row r="960" spans="1:8" ht="15.75" customHeight="1" x14ac:dyDescent="0.25">
      <c r="A960" s="19" t="s">
        <v>157</v>
      </c>
      <c r="B960" s="19">
        <v>1005</v>
      </c>
      <c r="C960" s="19">
        <v>1</v>
      </c>
      <c r="D960" s="19">
        <v>1</v>
      </c>
      <c r="E960" s="23" t="s">
        <v>262</v>
      </c>
      <c r="F960" s="19" t="str">
        <f t="shared" si="3"/>
        <v>Medium</v>
      </c>
      <c r="G960" s="19">
        <v>1100000</v>
      </c>
      <c r="H960" s="19" t="str">
        <f>IF(' BENGALURU HOUSE PRICE'!$G960&lt;=500000,"Low",
IF(' BENGALURU HOUSE PRICE'!$G960&lt;=1000000,"Medium",
IF(' BENGALURU HOUSE PRICE'!$G960&lt;=3000000,"High","Luxury")))</f>
        <v>High</v>
      </c>
    </row>
    <row r="961" spans="1:8" ht="15.75" customHeight="1" x14ac:dyDescent="0.25">
      <c r="A961" s="19" t="s">
        <v>142</v>
      </c>
      <c r="B961" s="19">
        <v>1559</v>
      </c>
      <c r="C961" s="19">
        <v>1</v>
      </c>
      <c r="D961" s="19">
        <v>0</v>
      </c>
      <c r="E961" s="23" t="s">
        <v>267</v>
      </c>
      <c r="F961" s="19" t="str">
        <f t="shared" si="3"/>
        <v>Medium</v>
      </c>
      <c r="G961" s="19">
        <v>184100</v>
      </c>
      <c r="H961" s="19" t="str">
        <f>IF(' BENGALURU HOUSE PRICE'!$G961&lt;=500000,"Low",
IF(' BENGALURU HOUSE PRICE'!$G961&lt;=1000000,"Medium",
IF(' BENGALURU HOUSE PRICE'!$G961&lt;=3000000,"High","Luxury")))</f>
        <v>Low</v>
      </c>
    </row>
    <row r="962" spans="1:8" ht="15.75" customHeight="1" x14ac:dyDescent="0.25">
      <c r="A962" s="19" t="s">
        <v>74</v>
      </c>
      <c r="B962" s="19">
        <v>1305</v>
      </c>
      <c r="C962" s="19">
        <v>3</v>
      </c>
      <c r="D962" s="19">
        <v>1</v>
      </c>
      <c r="E962" s="23" t="s">
        <v>27</v>
      </c>
      <c r="F962" s="19" t="str">
        <f t="shared" si="3"/>
        <v>Medium</v>
      </c>
      <c r="G962" s="19">
        <v>332800</v>
      </c>
      <c r="H962" s="19" t="str">
        <f>IF(' BENGALURU HOUSE PRICE'!$G962&lt;=500000,"Low",
IF(' BENGALURU HOUSE PRICE'!$G962&lt;=1000000,"Medium",
IF(' BENGALURU HOUSE PRICE'!$G962&lt;=3000000,"High","Luxury")))</f>
        <v>Low</v>
      </c>
    </row>
    <row r="963" spans="1:8" ht="15.75" customHeight="1" x14ac:dyDescent="0.25">
      <c r="A963" s="19" t="s">
        <v>158</v>
      </c>
      <c r="B963" s="19">
        <v>600</v>
      </c>
      <c r="C963" s="19">
        <v>4</v>
      </c>
      <c r="D963" s="19">
        <v>0</v>
      </c>
      <c r="E963" s="23" t="s">
        <v>27</v>
      </c>
      <c r="F963" s="19" t="str">
        <f t="shared" si="3"/>
        <v>Small</v>
      </c>
      <c r="G963" s="19">
        <v>950000</v>
      </c>
      <c r="H963" s="19" t="str">
        <f>IF(' BENGALURU HOUSE PRICE'!$G963&lt;=500000,"Low",
IF(' BENGALURU HOUSE PRICE'!$G963&lt;=1000000,"Medium",
IF(' BENGALURU HOUSE PRICE'!$G963&lt;=3000000,"High","Luxury")))</f>
        <v>Medium</v>
      </c>
    </row>
    <row r="964" spans="1:8" ht="15.75" customHeight="1" x14ac:dyDescent="0.25">
      <c r="A964" s="19" t="s">
        <v>440</v>
      </c>
      <c r="B964" s="19">
        <v>1300</v>
      </c>
      <c r="C964" s="19">
        <v>1</v>
      </c>
      <c r="D964" s="19">
        <v>1</v>
      </c>
      <c r="E964" s="23" t="s">
        <v>262</v>
      </c>
      <c r="F964" s="19" t="str">
        <f t="shared" si="3"/>
        <v>Medium</v>
      </c>
      <c r="G964" s="19">
        <v>1150000</v>
      </c>
      <c r="H964" s="19" t="str">
        <f>IF(' BENGALURU HOUSE PRICE'!$G964&lt;=500000,"Low",
IF(' BENGALURU HOUSE PRICE'!$G964&lt;=1000000,"Medium",
IF(' BENGALURU HOUSE PRICE'!$G964&lt;=3000000,"High","Luxury")))</f>
        <v>High</v>
      </c>
    </row>
    <row r="965" spans="1:8" ht="15.75" customHeight="1" x14ac:dyDescent="0.25">
      <c r="A965" s="19" t="s">
        <v>68</v>
      </c>
      <c r="B965" s="19">
        <v>1440</v>
      </c>
      <c r="C965" s="19">
        <v>2</v>
      </c>
      <c r="D965" s="19">
        <v>3</v>
      </c>
      <c r="E965" s="23" t="s">
        <v>27</v>
      </c>
      <c r="F965" s="19" t="str">
        <f t="shared" si="3"/>
        <v>Medium</v>
      </c>
      <c r="G965" s="19">
        <v>680000</v>
      </c>
      <c r="H965" s="19" t="str">
        <f>IF(' BENGALURU HOUSE PRICE'!$G965&lt;=500000,"Low",
IF(' BENGALURU HOUSE PRICE'!$G965&lt;=1000000,"Medium",
IF(' BENGALURU HOUSE PRICE'!$G965&lt;=3000000,"High","Luxury")))</f>
        <v>Medium</v>
      </c>
    </row>
    <row r="966" spans="1:8" ht="15.75" customHeight="1" x14ac:dyDescent="0.25">
      <c r="A966" s="19" t="s">
        <v>212</v>
      </c>
      <c r="B966" s="19">
        <v>901</v>
      </c>
      <c r="C966" s="19">
        <v>2</v>
      </c>
      <c r="D966" s="19">
        <v>1</v>
      </c>
      <c r="E966" s="23" t="s">
        <v>262</v>
      </c>
      <c r="F966" s="19" t="str">
        <f t="shared" si="3"/>
        <v>Small</v>
      </c>
      <c r="G966" s="19">
        <v>351400</v>
      </c>
      <c r="H966" s="19" t="str">
        <f>IF(' BENGALURU HOUSE PRICE'!$G966&lt;=500000,"Low",
IF(' BENGALURU HOUSE PRICE'!$G966&lt;=1000000,"Medium",
IF(' BENGALURU HOUSE PRICE'!$G966&lt;=3000000,"High","Luxury")))</f>
        <v>Low</v>
      </c>
    </row>
    <row r="967" spans="1:8" ht="15.75" customHeight="1" x14ac:dyDescent="0.25">
      <c r="A967" s="19" t="s">
        <v>197</v>
      </c>
      <c r="B967" s="19">
        <v>1725</v>
      </c>
      <c r="C967" s="19">
        <v>3</v>
      </c>
      <c r="D967" s="19">
        <v>3</v>
      </c>
      <c r="E967" s="23" t="s">
        <v>27</v>
      </c>
      <c r="F967" s="19" t="str">
        <f t="shared" si="3"/>
        <v>Medium</v>
      </c>
      <c r="G967" s="19">
        <v>2000000</v>
      </c>
      <c r="H967" s="19" t="str">
        <f>IF(' BENGALURU HOUSE PRICE'!$G967&lt;=500000,"Low",
IF(' BENGALURU HOUSE PRICE'!$G967&lt;=1000000,"Medium",
IF(' BENGALURU HOUSE PRICE'!$G967&lt;=3000000,"High","Luxury")))</f>
        <v>High</v>
      </c>
    </row>
    <row r="968" spans="1:8" ht="15.75" customHeight="1" x14ac:dyDescent="0.25">
      <c r="A968" s="19" t="s">
        <v>210</v>
      </c>
      <c r="B968" s="19">
        <v>900</v>
      </c>
      <c r="C968" s="19">
        <v>2</v>
      </c>
      <c r="D968" s="19">
        <v>1</v>
      </c>
      <c r="E968" s="23" t="s">
        <v>27</v>
      </c>
      <c r="F968" s="19" t="str">
        <f t="shared" si="3"/>
        <v>Small</v>
      </c>
      <c r="G968" s="19">
        <v>420000</v>
      </c>
      <c r="H968" s="19" t="str">
        <f>IF(' BENGALURU HOUSE PRICE'!$G968&lt;=500000,"Low",
IF(' BENGALURU HOUSE PRICE'!$G968&lt;=1000000,"Medium",
IF(' BENGALURU HOUSE PRICE'!$G968&lt;=3000000,"High","Luxury")))</f>
        <v>Low</v>
      </c>
    </row>
    <row r="969" spans="1:8" ht="15.75" customHeight="1" x14ac:dyDescent="0.25">
      <c r="A969" s="19" t="s">
        <v>60</v>
      </c>
      <c r="B969" s="19">
        <v>1060</v>
      </c>
      <c r="C969" s="19">
        <v>2</v>
      </c>
      <c r="D969" s="19">
        <v>1</v>
      </c>
      <c r="E969" s="23" t="s">
        <v>262</v>
      </c>
      <c r="F969" s="19" t="str">
        <f t="shared" si="3"/>
        <v>Medium</v>
      </c>
      <c r="G969" s="19">
        <v>550000</v>
      </c>
      <c r="H969" s="19" t="str">
        <f>IF(' BENGALURU HOUSE PRICE'!$G969&lt;=500000,"Low",
IF(' BENGALURU HOUSE PRICE'!$G969&lt;=1000000,"Medium",
IF(' BENGALURU HOUSE PRICE'!$G969&lt;=3000000,"High","Luxury")))</f>
        <v>Medium</v>
      </c>
    </row>
    <row r="970" spans="1:8" ht="15.75" customHeight="1" x14ac:dyDescent="0.25">
      <c r="A970" s="19" t="s">
        <v>439</v>
      </c>
      <c r="B970" s="19">
        <v>1020</v>
      </c>
      <c r="C970" s="19">
        <v>2</v>
      </c>
      <c r="D970" s="19">
        <v>1</v>
      </c>
      <c r="E970" s="23" t="s">
        <v>262</v>
      </c>
      <c r="F970" s="19" t="str">
        <f t="shared" si="3"/>
        <v>Medium</v>
      </c>
      <c r="G970" s="19">
        <v>484500</v>
      </c>
      <c r="H970" s="19" t="str">
        <f>IF(' BENGALURU HOUSE PRICE'!$G970&lt;=500000,"Low",
IF(' BENGALURU HOUSE PRICE'!$G970&lt;=1000000,"Medium",
IF(' BENGALURU HOUSE PRICE'!$G970&lt;=3000000,"High","Luxury")))</f>
        <v>Low</v>
      </c>
    </row>
    <row r="971" spans="1:8" ht="15.75" customHeight="1" x14ac:dyDescent="0.25">
      <c r="A971" s="19" t="s">
        <v>240</v>
      </c>
      <c r="B971" s="19">
        <v>1535</v>
      </c>
      <c r="C971" s="19">
        <v>3</v>
      </c>
      <c r="D971" s="19">
        <v>2</v>
      </c>
      <c r="E971" s="23" t="s">
        <v>27</v>
      </c>
      <c r="F971" s="19" t="str">
        <f t="shared" si="3"/>
        <v>Medium</v>
      </c>
      <c r="G971" s="19">
        <v>659900</v>
      </c>
      <c r="H971" s="19" t="str">
        <f>IF(' BENGALURU HOUSE PRICE'!$G971&lt;=500000,"Low",
IF(' BENGALURU HOUSE PRICE'!$G971&lt;=1000000,"Medium",
IF(' BENGALURU HOUSE PRICE'!$G971&lt;=3000000,"High","Luxury")))</f>
        <v>Medium</v>
      </c>
    </row>
    <row r="972" spans="1:8" ht="15.75" customHeight="1" x14ac:dyDescent="0.25">
      <c r="A972" s="19" t="s">
        <v>441</v>
      </c>
      <c r="B972" s="19">
        <v>530</v>
      </c>
      <c r="C972" s="19">
        <v>1</v>
      </c>
      <c r="D972" s="19">
        <v>1</v>
      </c>
      <c r="E972" s="23" t="s">
        <v>267</v>
      </c>
      <c r="F972" s="19" t="str">
        <f t="shared" si="3"/>
        <v>Small</v>
      </c>
      <c r="G972" s="19">
        <v>200000</v>
      </c>
      <c r="H972" s="19" t="str">
        <f>IF(' BENGALURU HOUSE PRICE'!$G972&lt;=500000,"Low",
IF(' BENGALURU HOUSE PRICE'!$G972&lt;=1000000,"Medium",
IF(' BENGALURU HOUSE PRICE'!$G972&lt;=3000000,"High","Luxury")))</f>
        <v>Low</v>
      </c>
    </row>
    <row r="973" spans="1:8" ht="15.75" customHeight="1" x14ac:dyDescent="0.25">
      <c r="A973" s="19" t="s">
        <v>17</v>
      </c>
      <c r="B973" s="19">
        <v>1464</v>
      </c>
      <c r="C973" s="19">
        <v>3</v>
      </c>
      <c r="D973" s="19">
        <v>2</v>
      </c>
      <c r="E973" s="23" t="s">
        <v>27</v>
      </c>
      <c r="F973" s="19" t="str">
        <f t="shared" si="3"/>
        <v>Medium</v>
      </c>
      <c r="G973" s="19">
        <v>560000</v>
      </c>
      <c r="H973" s="19" t="str">
        <f>IF(' BENGALURU HOUSE PRICE'!$G973&lt;=500000,"Low",
IF(' BENGALURU HOUSE PRICE'!$G973&lt;=1000000,"Medium",
IF(' BENGALURU HOUSE PRICE'!$G973&lt;=3000000,"High","Luxury")))</f>
        <v>Medium</v>
      </c>
    </row>
    <row r="974" spans="1:8" ht="15.75" customHeight="1" x14ac:dyDescent="0.25">
      <c r="A974" s="19" t="s">
        <v>442</v>
      </c>
      <c r="B974" s="19">
        <v>1350</v>
      </c>
      <c r="C974" s="19">
        <v>2</v>
      </c>
      <c r="D974" s="19">
        <v>3</v>
      </c>
      <c r="E974" s="23" t="s">
        <v>262</v>
      </c>
      <c r="F974" s="19" t="str">
        <f t="shared" si="3"/>
        <v>Medium</v>
      </c>
      <c r="G974" s="19">
        <v>800000</v>
      </c>
      <c r="H974" s="19" t="str">
        <f>IF(' BENGALURU HOUSE PRICE'!$G974&lt;=500000,"Low",
IF(' BENGALURU HOUSE PRICE'!$G974&lt;=1000000,"Medium",
IF(' BENGALURU HOUSE PRICE'!$G974&lt;=3000000,"High","Luxury")))</f>
        <v>Medium</v>
      </c>
    </row>
    <row r="975" spans="1:8" ht="15.75" customHeight="1" x14ac:dyDescent="0.25">
      <c r="A975" s="19" t="s">
        <v>22</v>
      </c>
      <c r="B975" s="19">
        <v>1115</v>
      </c>
      <c r="C975" s="19">
        <v>2</v>
      </c>
      <c r="D975" s="19">
        <v>2</v>
      </c>
      <c r="E975" s="23" t="s">
        <v>262</v>
      </c>
      <c r="F975" s="19" t="str">
        <f t="shared" si="3"/>
        <v>Medium</v>
      </c>
      <c r="G975" s="19">
        <v>500000</v>
      </c>
      <c r="H975" s="19" t="str">
        <f>IF(' BENGALURU HOUSE PRICE'!$G975&lt;=500000,"Low",
IF(' BENGALURU HOUSE PRICE'!$G975&lt;=1000000,"Medium",
IF(' BENGALURU HOUSE PRICE'!$G975&lt;=3000000,"High","Luxury")))</f>
        <v>Low</v>
      </c>
    </row>
    <row r="976" spans="1:8" ht="15.75" customHeight="1" x14ac:dyDescent="0.25">
      <c r="A976" s="19" t="s">
        <v>24</v>
      </c>
      <c r="B976" s="19">
        <v>1175</v>
      </c>
      <c r="C976" s="19">
        <v>2</v>
      </c>
      <c r="D976" s="19">
        <v>2</v>
      </c>
      <c r="E976" s="23" t="s">
        <v>262</v>
      </c>
      <c r="F976" s="19" t="str">
        <f t="shared" si="3"/>
        <v>Medium</v>
      </c>
      <c r="G976" s="19">
        <v>470000</v>
      </c>
      <c r="H976" s="19" t="str">
        <f>IF(' BENGALURU HOUSE PRICE'!$G976&lt;=500000,"Low",
IF(' BENGALURU HOUSE PRICE'!$G976&lt;=1000000,"Medium",
IF(' BENGALURU HOUSE PRICE'!$G976&lt;=3000000,"High","Luxury")))</f>
        <v>Low</v>
      </c>
    </row>
    <row r="977" spans="1:8" ht="15.75" customHeight="1" x14ac:dyDescent="0.25">
      <c r="A977" s="19" t="s">
        <v>25</v>
      </c>
      <c r="B977" s="19">
        <v>1113</v>
      </c>
      <c r="C977" s="19">
        <v>2</v>
      </c>
      <c r="D977" s="19">
        <v>1</v>
      </c>
      <c r="E977" s="23" t="s">
        <v>262</v>
      </c>
      <c r="F977" s="19" t="str">
        <f t="shared" si="3"/>
        <v>Medium</v>
      </c>
      <c r="G977" s="19">
        <v>620000</v>
      </c>
      <c r="H977" s="19" t="str">
        <f>IF(' BENGALURU HOUSE PRICE'!$G977&lt;=500000,"Low",
IF(' BENGALURU HOUSE PRICE'!$G977&lt;=1000000,"Medium",
IF(' BENGALURU HOUSE PRICE'!$G977&lt;=3000000,"High","Luxury")))</f>
        <v>Medium</v>
      </c>
    </row>
    <row r="978" spans="1:8" ht="15.75" customHeight="1" x14ac:dyDescent="0.25">
      <c r="A978" s="19" t="s">
        <v>24</v>
      </c>
      <c r="B978" s="19">
        <v>1200</v>
      </c>
      <c r="C978" s="19">
        <v>4</v>
      </c>
      <c r="D978" s="19">
        <v>2</v>
      </c>
      <c r="E978" s="23" t="s">
        <v>266</v>
      </c>
      <c r="F978" s="19" t="str">
        <f t="shared" si="3"/>
        <v>Medium</v>
      </c>
      <c r="G978" s="19">
        <v>2250000</v>
      </c>
      <c r="H978" s="19" t="str">
        <f>IF(' BENGALURU HOUSE PRICE'!$G978&lt;=500000,"Low",
IF(' BENGALURU HOUSE PRICE'!$G978&lt;=1000000,"Medium",
IF(' BENGALURU HOUSE PRICE'!$G978&lt;=3000000,"High","Luxury")))</f>
        <v>High</v>
      </c>
    </row>
    <row r="979" spans="1:8" ht="15.75" customHeight="1" x14ac:dyDescent="0.25">
      <c r="A979" s="19" t="s">
        <v>285</v>
      </c>
      <c r="B979" s="19">
        <v>1640</v>
      </c>
      <c r="C979" s="19">
        <v>4</v>
      </c>
      <c r="D979" s="19">
        <v>3</v>
      </c>
      <c r="E979" s="23" t="s">
        <v>292</v>
      </c>
      <c r="F979" s="19" t="str">
        <f t="shared" si="3"/>
        <v>Medium</v>
      </c>
      <c r="G979" s="19">
        <v>2400000</v>
      </c>
      <c r="H979" s="19" t="str">
        <f>IF(' BENGALURU HOUSE PRICE'!$G979&lt;=500000,"Low",
IF(' BENGALURU HOUSE PRICE'!$G979&lt;=1000000,"Medium",
IF(' BENGALURU HOUSE PRICE'!$G979&lt;=3000000,"High","Luxury")))</f>
        <v>High</v>
      </c>
    </row>
    <row r="980" spans="1:8" ht="15.75" customHeight="1" x14ac:dyDescent="0.25">
      <c r="A980" s="19" t="s">
        <v>99</v>
      </c>
      <c r="B980" s="19">
        <v>650</v>
      </c>
      <c r="C980" s="19">
        <v>2</v>
      </c>
      <c r="D980" s="19">
        <v>0</v>
      </c>
      <c r="E980" s="23" t="s">
        <v>262</v>
      </c>
      <c r="F980" s="19" t="str">
        <f t="shared" si="3"/>
        <v>Small</v>
      </c>
      <c r="G980" s="19">
        <v>420000</v>
      </c>
      <c r="H980" s="19" t="str">
        <f>IF(' BENGALURU HOUSE PRICE'!$G980&lt;=500000,"Low",
IF(' BENGALURU HOUSE PRICE'!$G980&lt;=1000000,"Medium",
IF(' BENGALURU HOUSE PRICE'!$G980&lt;=3000000,"High","Luxury")))</f>
        <v>Low</v>
      </c>
    </row>
    <row r="981" spans="1:8" ht="15.75" customHeight="1" x14ac:dyDescent="0.25">
      <c r="A981" s="19" t="s">
        <v>20</v>
      </c>
      <c r="B981" s="19">
        <v>1325</v>
      </c>
      <c r="C981" s="19">
        <v>2</v>
      </c>
      <c r="D981" s="19">
        <v>2</v>
      </c>
      <c r="E981" s="23" t="s">
        <v>262</v>
      </c>
      <c r="F981" s="19" t="str">
        <f t="shared" si="3"/>
        <v>Medium</v>
      </c>
      <c r="G981" s="19">
        <v>715500</v>
      </c>
      <c r="H981" s="19" t="str">
        <f>IF(' BENGALURU HOUSE PRICE'!$G981&lt;=500000,"Low",
IF(' BENGALURU HOUSE PRICE'!$G981&lt;=1000000,"Medium",
IF(' BENGALURU HOUSE PRICE'!$G981&lt;=3000000,"High","Luxury")))</f>
        <v>Medium</v>
      </c>
    </row>
    <row r="982" spans="1:8" ht="15.75" customHeight="1" x14ac:dyDescent="0.25">
      <c r="A982" s="19" t="s">
        <v>97</v>
      </c>
      <c r="B982" s="19">
        <v>950</v>
      </c>
      <c r="C982" s="19">
        <v>2</v>
      </c>
      <c r="D982" s="19">
        <v>3</v>
      </c>
      <c r="E982" s="23" t="s">
        <v>262</v>
      </c>
      <c r="F982" s="19" t="str">
        <f t="shared" si="3"/>
        <v>Small</v>
      </c>
      <c r="G982" s="19">
        <v>310000</v>
      </c>
      <c r="H982" s="19" t="str">
        <f>IF(' BENGALURU HOUSE PRICE'!$G982&lt;=500000,"Low",
IF(' BENGALURU HOUSE PRICE'!$G982&lt;=1000000,"Medium",
IF(' BENGALURU HOUSE PRICE'!$G982&lt;=3000000,"High","Luxury")))</f>
        <v>Low</v>
      </c>
    </row>
    <row r="983" spans="1:8" ht="15.75" customHeight="1" x14ac:dyDescent="0.25">
      <c r="A983" s="19" t="s">
        <v>129</v>
      </c>
      <c r="B983" s="19">
        <v>1396</v>
      </c>
      <c r="C983" s="19">
        <v>2</v>
      </c>
      <c r="D983" s="19">
        <v>1</v>
      </c>
      <c r="E983" s="23" t="s">
        <v>27</v>
      </c>
      <c r="F983" s="19" t="str">
        <f t="shared" si="3"/>
        <v>Medium</v>
      </c>
      <c r="G983" s="19">
        <v>865100</v>
      </c>
      <c r="H983" s="19" t="str">
        <f>IF(' BENGALURU HOUSE PRICE'!$G983&lt;=500000,"Low",
IF(' BENGALURU HOUSE PRICE'!$G983&lt;=1000000,"Medium",
IF(' BENGALURU HOUSE PRICE'!$G983&lt;=3000000,"High","Luxury")))</f>
        <v>Medium</v>
      </c>
    </row>
    <row r="984" spans="1:8" ht="15.75" customHeight="1" x14ac:dyDescent="0.25">
      <c r="A984" s="19" t="s">
        <v>196</v>
      </c>
      <c r="B984" s="19">
        <v>1050</v>
      </c>
      <c r="C984" s="19">
        <v>2</v>
      </c>
      <c r="D984" s="19">
        <v>2</v>
      </c>
      <c r="E984" s="23" t="s">
        <v>262</v>
      </c>
      <c r="F984" s="19" t="str">
        <f t="shared" si="3"/>
        <v>Medium</v>
      </c>
      <c r="G984" s="19">
        <v>520700</v>
      </c>
      <c r="H984" s="19" t="str">
        <f>IF(' BENGALURU HOUSE PRICE'!$G984&lt;=500000,"Low",
IF(' BENGALURU HOUSE PRICE'!$G984&lt;=1000000,"Medium",
IF(' BENGALURU HOUSE PRICE'!$G984&lt;=3000000,"High","Luxury")))</f>
        <v>Medium</v>
      </c>
    </row>
    <row r="985" spans="1:8" ht="15.75" customHeight="1" x14ac:dyDescent="0.25">
      <c r="A985" s="19" t="s">
        <v>23</v>
      </c>
      <c r="B985" s="19">
        <v>1825</v>
      </c>
      <c r="C985" s="19">
        <v>3</v>
      </c>
      <c r="D985" s="19">
        <v>2</v>
      </c>
      <c r="E985" s="23" t="s">
        <v>27</v>
      </c>
      <c r="F985" s="19" t="str">
        <f t="shared" si="3"/>
        <v>Medium</v>
      </c>
      <c r="G985" s="19">
        <v>1000000</v>
      </c>
      <c r="H985" s="19" t="str">
        <f>IF(' BENGALURU HOUSE PRICE'!$G985&lt;=500000,"Low",
IF(' BENGALURU HOUSE PRICE'!$G985&lt;=1000000,"Medium",
IF(' BENGALURU HOUSE PRICE'!$G985&lt;=3000000,"High","Luxury")))</f>
        <v>Medium</v>
      </c>
    </row>
    <row r="986" spans="1:8" ht="15.75" customHeight="1" x14ac:dyDescent="0.25">
      <c r="A986" s="19" t="s">
        <v>15</v>
      </c>
      <c r="B986" s="19">
        <v>1190</v>
      </c>
      <c r="C986" s="19">
        <v>2</v>
      </c>
      <c r="D986" s="19">
        <v>1</v>
      </c>
      <c r="E986" s="23" t="s">
        <v>262</v>
      </c>
      <c r="F986" s="19" t="str">
        <f t="shared" si="3"/>
        <v>Medium</v>
      </c>
      <c r="G986" s="19">
        <v>499800</v>
      </c>
      <c r="H986" s="19" t="str">
        <f>IF(' BENGALURU HOUSE PRICE'!$G986&lt;=500000,"Low",
IF(' BENGALURU HOUSE PRICE'!$G986&lt;=1000000,"Medium",
IF(' BENGALURU HOUSE PRICE'!$G986&lt;=3000000,"High","Luxury")))</f>
        <v>Low</v>
      </c>
    </row>
    <row r="987" spans="1:8" ht="15.75" customHeight="1" x14ac:dyDescent="0.25">
      <c r="A987" s="19" t="s">
        <v>20</v>
      </c>
      <c r="B987" s="19">
        <v>1220</v>
      </c>
      <c r="C987" s="19">
        <v>2</v>
      </c>
      <c r="D987" s="19">
        <v>1</v>
      </c>
      <c r="E987" s="23" t="s">
        <v>262</v>
      </c>
      <c r="F987" s="19" t="str">
        <f t="shared" si="3"/>
        <v>Medium</v>
      </c>
      <c r="G987" s="19">
        <v>565000</v>
      </c>
      <c r="H987" s="19" t="str">
        <f>IF(' BENGALURU HOUSE PRICE'!$G987&lt;=500000,"Low",
IF(' BENGALURU HOUSE PRICE'!$G987&lt;=1000000,"Medium",
IF(' BENGALURU HOUSE PRICE'!$G987&lt;=3000000,"High","Luxury")))</f>
        <v>Medium</v>
      </c>
    </row>
    <row r="988" spans="1:8" ht="15.75" customHeight="1" x14ac:dyDescent="0.25">
      <c r="A988" s="19" t="s">
        <v>187</v>
      </c>
      <c r="B988" s="19">
        <v>1565</v>
      </c>
      <c r="C988" s="19">
        <v>2</v>
      </c>
      <c r="D988" s="19">
        <v>2</v>
      </c>
      <c r="E988" s="23" t="s">
        <v>27</v>
      </c>
      <c r="F988" s="19" t="str">
        <f t="shared" si="3"/>
        <v>Medium</v>
      </c>
      <c r="G988" s="19">
        <v>750000</v>
      </c>
      <c r="H988" s="19" t="str">
        <f>IF(' BENGALURU HOUSE PRICE'!$G988&lt;=500000,"Low",
IF(' BENGALURU HOUSE PRICE'!$G988&lt;=1000000,"Medium",
IF(' BENGALURU HOUSE PRICE'!$G988&lt;=3000000,"High","Luxury")))</f>
        <v>Medium</v>
      </c>
    </row>
    <row r="989" spans="1:8" ht="15.75" customHeight="1" x14ac:dyDescent="0.25">
      <c r="A989" s="19" t="s">
        <v>111</v>
      </c>
      <c r="B989" s="19">
        <v>1891</v>
      </c>
      <c r="C989" s="19">
        <v>3</v>
      </c>
      <c r="D989" s="19">
        <v>1</v>
      </c>
      <c r="E989" s="23" t="s">
        <v>27</v>
      </c>
      <c r="F989" s="19" t="str">
        <f t="shared" si="3"/>
        <v>Medium</v>
      </c>
      <c r="G989" s="19">
        <v>1090000</v>
      </c>
      <c r="H989" s="19" t="str">
        <f>IF(' BENGALURU HOUSE PRICE'!$G989&lt;=500000,"Low",
IF(' BENGALURU HOUSE PRICE'!$G989&lt;=1000000,"Medium",
IF(' BENGALURU HOUSE PRICE'!$G989&lt;=3000000,"High","Luxury")))</f>
        <v>High</v>
      </c>
    </row>
    <row r="990" spans="1:8" ht="15.75" customHeight="1" x14ac:dyDescent="0.25">
      <c r="A990" s="19" t="s">
        <v>443</v>
      </c>
      <c r="B990" s="19">
        <v>900</v>
      </c>
      <c r="C990" s="19">
        <v>2</v>
      </c>
      <c r="D990" s="19">
        <v>0</v>
      </c>
      <c r="E990" s="23" t="s">
        <v>262</v>
      </c>
      <c r="F990" s="19" t="str">
        <f t="shared" si="3"/>
        <v>Small</v>
      </c>
      <c r="G990" s="19">
        <v>270000</v>
      </c>
      <c r="H990" s="19" t="str">
        <f>IF(' BENGALURU HOUSE PRICE'!$G990&lt;=500000,"Low",
IF(' BENGALURU HOUSE PRICE'!$G990&lt;=1000000,"Medium",
IF(' BENGALURU HOUSE PRICE'!$G990&lt;=3000000,"High","Luxury")))</f>
        <v>Low</v>
      </c>
    </row>
    <row r="991" spans="1:8" ht="15.75" customHeight="1" x14ac:dyDescent="0.25">
      <c r="A991" s="19" t="s">
        <v>117</v>
      </c>
      <c r="B991" s="19">
        <v>1161</v>
      </c>
      <c r="C991" s="19">
        <v>2</v>
      </c>
      <c r="D991" s="19">
        <v>1</v>
      </c>
      <c r="E991" s="23" t="s">
        <v>262</v>
      </c>
      <c r="F991" s="19" t="str">
        <f t="shared" si="3"/>
        <v>Medium</v>
      </c>
      <c r="G991" s="19">
        <v>551500</v>
      </c>
      <c r="H991" s="19" t="str">
        <f>IF(' BENGALURU HOUSE PRICE'!$G991&lt;=500000,"Low",
IF(' BENGALURU HOUSE PRICE'!$G991&lt;=1000000,"Medium",
IF(' BENGALURU HOUSE PRICE'!$G991&lt;=3000000,"High","Luxury")))</f>
        <v>Medium</v>
      </c>
    </row>
    <row r="992" spans="1:8" ht="15.75" customHeight="1" x14ac:dyDescent="0.25">
      <c r="A992" s="19" t="s">
        <v>210</v>
      </c>
      <c r="B992" s="19">
        <v>1559</v>
      </c>
      <c r="C992" s="19">
        <v>1</v>
      </c>
      <c r="D992" s="19">
        <v>0</v>
      </c>
      <c r="E992" s="23" t="s">
        <v>267</v>
      </c>
      <c r="F992" s="19" t="str">
        <f t="shared" si="3"/>
        <v>Medium</v>
      </c>
      <c r="G992" s="19">
        <v>175350</v>
      </c>
      <c r="H992" s="19" t="str">
        <f>IF(' BENGALURU HOUSE PRICE'!$G992&lt;=500000,"Low",
IF(' BENGALURU HOUSE PRICE'!$G992&lt;=1000000,"Medium",
IF(' BENGALURU HOUSE PRICE'!$G992&lt;=3000000,"High","Luxury")))</f>
        <v>Low</v>
      </c>
    </row>
    <row r="993" spans="1:8" ht="15.75" customHeight="1" x14ac:dyDescent="0.25">
      <c r="A993" s="19" t="s">
        <v>444</v>
      </c>
      <c r="B993" s="19">
        <v>2400</v>
      </c>
      <c r="C993" s="19">
        <v>6</v>
      </c>
      <c r="D993" s="19">
        <v>3</v>
      </c>
      <c r="E993" s="23" t="s">
        <v>271</v>
      </c>
      <c r="F993" s="19" t="str">
        <f t="shared" si="3"/>
        <v>Large</v>
      </c>
      <c r="G993" s="19">
        <v>1250000</v>
      </c>
      <c r="H993" s="19" t="str">
        <f>IF(' BENGALURU HOUSE PRICE'!$G993&lt;=500000,"Low",
IF(' BENGALURU HOUSE PRICE'!$G993&lt;=1000000,"Medium",
IF(' BENGALURU HOUSE PRICE'!$G993&lt;=3000000,"High","Luxury")))</f>
        <v>High</v>
      </c>
    </row>
    <row r="994" spans="1:8" ht="15.75" customHeight="1" x14ac:dyDescent="0.25">
      <c r="A994" s="19" t="s">
        <v>197</v>
      </c>
      <c r="B994" s="19">
        <v>315</v>
      </c>
      <c r="C994" s="19">
        <v>4</v>
      </c>
      <c r="D994" s="19">
        <v>2</v>
      </c>
      <c r="E994" s="23" t="s">
        <v>264</v>
      </c>
      <c r="F994" s="19" t="str">
        <f t="shared" si="3"/>
        <v>Small</v>
      </c>
      <c r="G994" s="19">
        <v>900000</v>
      </c>
      <c r="H994" s="19" t="str">
        <f>IF(' BENGALURU HOUSE PRICE'!$G994&lt;=500000,"Low",
IF(' BENGALURU HOUSE PRICE'!$G994&lt;=1000000,"Medium",
IF(' BENGALURU HOUSE PRICE'!$G994&lt;=3000000,"High","Luxury")))</f>
        <v>Medium</v>
      </c>
    </row>
    <row r="995" spans="1:8" ht="15.75" customHeight="1" x14ac:dyDescent="0.25">
      <c r="A995" s="19" t="s">
        <v>250</v>
      </c>
      <c r="B995" s="19">
        <v>665</v>
      </c>
      <c r="C995" s="19">
        <v>1</v>
      </c>
      <c r="D995" s="19">
        <v>1</v>
      </c>
      <c r="E995" s="23" t="s">
        <v>267</v>
      </c>
      <c r="F995" s="19" t="str">
        <f t="shared" si="3"/>
        <v>Small</v>
      </c>
      <c r="G995" s="19">
        <v>368500</v>
      </c>
      <c r="H995" s="19" t="str">
        <f>IF(' BENGALURU HOUSE PRICE'!$G995&lt;=500000,"Low",
IF(' BENGALURU HOUSE PRICE'!$G995&lt;=1000000,"Medium",
IF(' BENGALURU HOUSE PRICE'!$G995&lt;=3000000,"High","Luxury")))</f>
        <v>Low</v>
      </c>
    </row>
    <row r="996" spans="1:8" ht="15.75" customHeight="1" x14ac:dyDescent="0.25">
      <c r="A996" s="19" t="s">
        <v>182</v>
      </c>
      <c r="B996" s="19">
        <v>1175</v>
      </c>
      <c r="C996" s="19">
        <v>2</v>
      </c>
      <c r="D996" s="19">
        <v>1</v>
      </c>
      <c r="E996" s="23" t="s">
        <v>262</v>
      </c>
      <c r="F996" s="19" t="str">
        <f t="shared" si="3"/>
        <v>Medium</v>
      </c>
      <c r="G996" s="19">
        <v>735000</v>
      </c>
      <c r="H996" s="19" t="str">
        <f>IF(' BENGALURU HOUSE PRICE'!$G996&lt;=500000,"Low",
IF(' BENGALURU HOUSE PRICE'!$G996&lt;=1000000,"Medium",
IF(' BENGALURU HOUSE PRICE'!$G996&lt;=3000000,"High","Luxury")))</f>
        <v>Medium</v>
      </c>
    </row>
    <row r="997" spans="1:8" ht="15.75" customHeight="1" x14ac:dyDescent="0.25">
      <c r="A997" s="19" t="s">
        <v>113</v>
      </c>
      <c r="B997" s="19">
        <v>1425</v>
      </c>
      <c r="C997" s="19">
        <v>2</v>
      </c>
      <c r="D997" s="19">
        <v>2</v>
      </c>
      <c r="E997" s="23" t="s">
        <v>262</v>
      </c>
      <c r="F997" s="19" t="str">
        <f t="shared" si="3"/>
        <v>Medium</v>
      </c>
      <c r="G997" s="19">
        <v>800000</v>
      </c>
      <c r="H997" s="19" t="str">
        <f>IF(' BENGALURU HOUSE PRICE'!$G997&lt;=500000,"Low",
IF(' BENGALURU HOUSE PRICE'!$G997&lt;=1000000,"Medium",
IF(' BENGALURU HOUSE PRICE'!$G997&lt;=3000000,"High","Luxury")))</f>
        <v>Medium</v>
      </c>
    </row>
    <row r="998" spans="1:8" ht="15.75" customHeight="1" x14ac:dyDescent="0.25">
      <c r="A998" s="19" t="s">
        <v>380</v>
      </c>
      <c r="B998" s="19">
        <v>1200</v>
      </c>
      <c r="C998" s="19">
        <v>1</v>
      </c>
      <c r="D998" s="19">
        <v>0</v>
      </c>
      <c r="E998" s="23" t="s">
        <v>267</v>
      </c>
      <c r="F998" s="19" t="str">
        <f t="shared" si="3"/>
        <v>Medium</v>
      </c>
      <c r="G998" s="19">
        <v>200000</v>
      </c>
      <c r="H998" s="19" t="str">
        <f>IF(' BENGALURU HOUSE PRICE'!$G998&lt;=500000,"Low",
IF(' BENGALURU HOUSE PRICE'!$G998&lt;=1000000,"Medium",
IF(' BENGALURU HOUSE PRICE'!$G998&lt;=3000000,"High","Luxury")))</f>
        <v>Low</v>
      </c>
    </row>
    <row r="999" spans="1:8" ht="15.75" customHeight="1" x14ac:dyDescent="0.25">
      <c r="A999" s="19" t="s">
        <v>127</v>
      </c>
      <c r="B999" s="19">
        <v>1200</v>
      </c>
      <c r="C999" s="19">
        <v>3</v>
      </c>
      <c r="D999" s="19">
        <v>1</v>
      </c>
      <c r="E999" s="23" t="s">
        <v>27</v>
      </c>
      <c r="F999" s="19" t="str">
        <f t="shared" si="3"/>
        <v>Medium</v>
      </c>
      <c r="G999" s="19">
        <v>561200</v>
      </c>
      <c r="H999" s="19" t="str">
        <f>IF(' BENGALURU HOUSE PRICE'!$G999&lt;=500000,"Low",
IF(' BENGALURU HOUSE PRICE'!$G999&lt;=1000000,"Medium",
IF(' BENGALURU HOUSE PRICE'!$G999&lt;=3000000,"High","Luxury")))</f>
        <v>Medium</v>
      </c>
    </row>
    <row r="1000" spans="1:8" ht="15.75" customHeight="1" x14ac:dyDescent="0.25">
      <c r="A1000" s="19" t="s">
        <v>218</v>
      </c>
      <c r="B1000" s="19">
        <v>1255</v>
      </c>
      <c r="C1000" s="19">
        <v>2</v>
      </c>
      <c r="D1000" s="19">
        <v>2</v>
      </c>
      <c r="E1000" s="23" t="s">
        <v>262</v>
      </c>
      <c r="F1000" s="19" t="str">
        <f t="shared" si="3"/>
        <v>Medium</v>
      </c>
      <c r="G1000" s="19">
        <v>670000</v>
      </c>
      <c r="H1000" s="19" t="str">
        <f>IF(' BENGALURU HOUSE PRICE'!$G1000&lt;=500000,"Low",
IF(' BENGALURU HOUSE PRICE'!$G1000&lt;=1000000,"Medium",
IF(' BENGALURU HOUSE PRICE'!$G1000&lt;=3000000,"High","Luxury")))</f>
        <v>Medium</v>
      </c>
    </row>
    <row r="1001" spans="1:8" ht="15.75" customHeight="1" x14ac:dyDescent="0.25">
      <c r="A1001" s="19" t="s">
        <v>110</v>
      </c>
      <c r="B1001" s="19">
        <v>2113</v>
      </c>
      <c r="C1001" s="19">
        <v>4</v>
      </c>
      <c r="D1001" s="19">
        <v>2</v>
      </c>
      <c r="E1001" s="23" t="s">
        <v>27</v>
      </c>
      <c r="F1001" s="19" t="str">
        <f t="shared" si="3"/>
        <v>Large</v>
      </c>
      <c r="G1001" s="19">
        <v>1450000</v>
      </c>
      <c r="H1001" s="19" t="str">
        <f>IF(' BENGALURU HOUSE PRICE'!$G1001&lt;=500000,"Low",
IF(' BENGALURU HOUSE PRICE'!$G1001&lt;=1000000,"Medium",
IF(' BENGALURU HOUSE PRICE'!$G1001&lt;=3000000,"High","Luxury")))</f>
        <v>High</v>
      </c>
    </row>
    <row r="1002" spans="1:8" ht="15.75" customHeight="1" x14ac:dyDescent="0.25">
      <c r="A1002" s="19" t="s">
        <v>21</v>
      </c>
      <c r="B1002" s="19">
        <v>600</v>
      </c>
      <c r="C1002" s="19">
        <v>1</v>
      </c>
      <c r="D1002" s="19">
        <v>1</v>
      </c>
      <c r="E1002" s="23" t="s">
        <v>267</v>
      </c>
      <c r="F1002" s="19" t="str">
        <f t="shared" si="3"/>
        <v>Small</v>
      </c>
      <c r="G1002" s="19">
        <v>220000</v>
      </c>
      <c r="H1002" s="19" t="str">
        <f>IF(' BENGALURU HOUSE PRICE'!$G1002&lt;=500000,"Low",
IF(' BENGALURU HOUSE PRICE'!$G1002&lt;=1000000,"Medium",
IF(' BENGALURU HOUSE PRICE'!$G1002&lt;=3000000,"High","Luxury")))</f>
        <v>Low</v>
      </c>
    </row>
    <row r="1003" spans="1:8" ht="15.75" customHeight="1" x14ac:dyDescent="0.25">
      <c r="A1003" s="19" t="s">
        <v>17</v>
      </c>
      <c r="B1003" s="19">
        <v>1810</v>
      </c>
      <c r="C1003" s="19">
        <v>3</v>
      </c>
      <c r="D1003" s="19">
        <v>2</v>
      </c>
      <c r="E1003" s="23" t="s">
        <v>27</v>
      </c>
      <c r="F1003" s="19" t="str">
        <f t="shared" si="3"/>
        <v>Medium</v>
      </c>
      <c r="G1003" s="19">
        <v>1000000</v>
      </c>
      <c r="H1003" s="19" t="str">
        <f>IF(' BENGALURU HOUSE PRICE'!$G1003&lt;=500000,"Low",
IF(' BENGALURU HOUSE PRICE'!$G1003&lt;=1000000,"Medium",
IF(' BENGALURU HOUSE PRICE'!$G1003&lt;=3000000,"High","Luxury")))</f>
        <v>Medium</v>
      </c>
    </row>
    <row r="1004" spans="1:8" ht="15.75" customHeight="1" x14ac:dyDescent="0.25">
      <c r="A1004" s="19" t="s">
        <v>395</v>
      </c>
      <c r="B1004" s="19">
        <v>1200</v>
      </c>
      <c r="C1004" s="19">
        <v>2</v>
      </c>
      <c r="D1004" s="19">
        <v>2</v>
      </c>
      <c r="E1004" s="23" t="s">
        <v>262</v>
      </c>
      <c r="F1004" s="19" t="str">
        <f t="shared" si="3"/>
        <v>Medium</v>
      </c>
      <c r="G1004" s="19">
        <v>930000</v>
      </c>
      <c r="H1004" s="19" t="str">
        <f>IF(' BENGALURU HOUSE PRICE'!$G1004&lt;=500000,"Low",
IF(' BENGALURU HOUSE PRICE'!$G1004&lt;=1000000,"Medium",
IF(' BENGALURU HOUSE PRICE'!$G1004&lt;=3000000,"High","Luxury")))</f>
        <v>Medium</v>
      </c>
    </row>
    <row r="1005" spans="1:8" ht="15.75" customHeight="1" x14ac:dyDescent="0.25">
      <c r="A1005" s="19" t="s">
        <v>108</v>
      </c>
      <c r="B1005" s="19">
        <v>1033</v>
      </c>
      <c r="C1005" s="19">
        <v>2</v>
      </c>
      <c r="D1005" s="19">
        <v>2</v>
      </c>
      <c r="E1005" s="23" t="s">
        <v>262</v>
      </c>
      <c r="F1005" s="19" t="str">
        <f t="shared" si="3"/>
        <v>Medium</v>
      </c>
      <c r="G1005" s="19">
        <v>490000</v>
      </c>
      <c r="H1005" s="19" t="str">
        <f>IF(' BENGALURU HOUSE PRICE'!$G1005&lt;=500000,"Low",
IF(' BENGALURU HOUSE PRICE'!$G1005&lt;=1000000,"Medium",
IF(' BENGALURU HOUSE PRICE'!$G1005&lt;=3000000,"High","Luxury")))</f>
        <v>Low</v>
      </c>
    </row>
    <row r="1006" spans="1:8" ht="15.75" customHeight="1" x14ac:dyDescent="0.25">
      <c r="A1006" s="19" t="s">
        <v>127</v>
      </c>
      <c r="B1006" s="19">
        <v>1548</v>
      </c>
      <c r="C1006" s="19">
        <v>3</v>
      </c>
      <c r="D1006" s="19">
        <v>2</v>
      </c>
      <c r="E1006" s="23" t="s">
        <v>27</v>
      </c>
      <c r="F1006" s="19" t="str">
        <f t="shared" si="3"/>
        <v>Medium</v>
      </c>
      <c r="G1006" s="19">
        <v>895000</v>
      </c>
      <c r="H1006" s="19" t="str">
        <f>IF(' BENGALURU HOUSE PRICE'!$G1006&lt;=500000,"Low",
IF(' BENGALURU HOUSE PRICE'!$G1006&lt;=1000000,"Medium",
IF(' BENGALURU HOUSE PRICE'!$G1006&lt;=3000000,"High","Luxury")))</f>
        <v>Medium</v>
      </c>
    </row>
    <row r="1007" spans="1:8" ht="15.75" customHeight="1" x14ac:dyDescent="0.25">
      <c r="A1007" s="19" t="s">
        <v>116</v>
      </c>
      <c r="B1007" s="19">
        <v>1611</v>
      </c>
      <c r="C1007" s="19">
        <v>3</v>
      </c>
      <c r="D1007" s="19">
        <v>3</v>
      </c>
      <c r="E1007" s="23" t="s">
        <v>27</v>
      </c>
      <c r="F1007" s="19" t="str">
        <f t="shared" si="3"/>
        <v>Medium</v>
      </c>
      <c r="G1007" s="19">
        <v>660000</v>
      </c>
      <c r="H1007" s="19" t="str">
        <f>IF(' BENGALURU HOUSE PRICE'!$G1007&lt;=500000,"Low",
IF(' BENGALURU HOUSE PRICE'!$G1007&lt;=1000000,"Medium",
IF(' BENGALURU HOUSE PRICE'!$G1007&lt;=3000000,"High","Luxury")))</f>
        <v>Medium</v>
      </c>
    </row>
    <row r="1008" spans="1:8" ht="15.75" customHeight="1" x14ac:dyDescent="0.25">
      <c r="A1008" s="19" t="s">
        <v>96</v>
      </c>
      <c r="B1008" s="19">
        <v>1400</v>
      </c>
      <c r="C1008" s="19">
        <v>2</v>
      </c>
      <c r="D1008" s="19">
        <v>1</v>
      </c>
      <c r="E1008" s="23" t="s">
        <v>27</v>
      </c>
      <c r="F1008" s="19" t="str">
        <f t="shared" si="3"/>
        <v>Medium</v>
      </c>
      <c r="G1008" s="19">
        <v>404300</v>
      </c>
      <c r="H1008" s="19" t="str">
        <f>IF(' BENGALURU HOUSE PRICE'!$G1008&lt;=500000,"Low",
IF(' BENGALURU HOUSE PRICE'!$G1008&lt;=1000000,"Medium",
IF(' BENGALURU HOUSE PRICE'!$G1008&lt;=3000000,"High","Luxury")))</f>
        <v>Low</v>
      </c>
    </row>
    <row r="1009" spans="1:8" ht="15.75" customHeight="1" x14ac:dyDescent="0.25">
      <c r="A1009" s="19" t="s">
        <v>244</v>
      </c>
      <c r="B1009" s="19">
        <v>1485</v>
      </c>
      <c r="C1009" s="19">
        <v>2</v>
      </c>
      <c r="D1009" s="19">
        <v>2</v>
      </c>
      <c r="E1009" s="23" t="s">
        <v>27</v>
      </c>
      <c r="F1009" s="19" t="str">
        <f t="shared" si="3"/>
        <v>Medium</v>
      </c>
      <c r="G1009" s="19">
        <v>670000</v>
      </c>
      <c r="H1009" s="19" t="str">
        <f>IF(' BENGALURU HOUSE PRICE'!$G1009&lt;=500000,"Low",
IF(' BENGALURU HOUSE PRICE'!$G1009&lt;=1000000,"Medium",
IF(' BENGALURU HOUSE PRICE'!$G1009&lt;=3000000,"High","Luxury")))</f>
        <v>Medium</v>
      </c>
    </row>
    <row r="1010" spans="1:8" ht="15.75" customHeight="1" x14ac:dyDescent="0.25">
      <c r="A1010" s="19" t="s">
        <v>391</v>
      </c>
      <c r="B1010" s="19">
        <v>2400</v>
      </c>
      <c r="C1010" s="19">
        <v>2</v>
      </c>
      <c r="D1010" s="19">
        <v>1</v>
      </c>
      <c r="E1010" s="23" t="s">
        <v>262</v>
      </c>
      <c r="F1010" s="19" t="str">
        <f t="shared" si="3"/>
        <v>Large</v>
      </c>
      <c r="G1010" s="19">
        <v>820000</v>
      </c>
      <c r="H1010" s="19" t="str">
        <f>IF(' BENGALURU HOUSE PRICE'!$G1010&lt;=500000,"Low",
IF(' BENGALURU HOUSE PRICE'!$G1010&lt;=1000000,"Medium",
IF(' BENGALURU HOUSE PRICE'!$G1010&lt;=3000000,"High","Luxury")))</f>
        <v>Medium</v>
      </c>
    </row>
    <row r="1011" spans="1:8" ht="15.75" customHeight="1" x14ac:dyDescent="0.25">
      <c r="A1011" s="19" t="s">
        <v>193</v>
      </c>
      <c r="B1011" s="19">
        <v>1025</v>
      </c>
      <c r="C1011" s="19">
        <v>2</v>
      </c>
      <c r="D1011" s="19">
        <v>1</v>
      </c>
      <c r="E1011" s="23" t="s">
        <v>262</v>
      </c>
      <c r="F1011" s="19" t="str">
        <f t="shared" si="3"/>
        <v>Medium</v>
      </c>
      <c r="G1011" s="19">
        <v>445000</v>
      </c>
      <c r="H1011" s="19" t="str">
        <f>IF(' BENGALURU HOUSE PRICE'!$G1011&lt;=500000,"Low",
IF(' BENGALURU HOUSE PRICE'!$G1011&lt;=1000000,"Medium",
IF(' BENGALURU HOUSE PRICE'!$G1011&lt;=3000000,"High","Luxury")))</f>
        <v>Low</v>
      </c>
    </row>
    <row r="1012" spans="1:8" ht="15.75" customHeight="1" x14ac:dyDescent="0.25">
      <c r="A1012" s="19" t="s">
        <v>445</v>
      </c>
      <c r="B1012" s="19">
        <v>600</v>
      </c>
      <c r="C1012" s="19">
        <v>3</v>
      </c>
      <c r="D1012" s="19">
        <v>2</v>
      </c>
      <c r="E1012" s="23" t="s">
        <v>264</v>
      </c>
      <c r="F1012" s="19" t="str">
        <f t="shared" si="3"/>
        <v>Small</v>
      </c>
      <c r="G1012" s="19">
        <v>650000</v>
      </c>
      <c r="H1012" s="19" t="str">
        <f>IF(' BENGALURU HOUSE PRICE'!$G1012&lt;=500000,"Low",
IF(' BENGALURU HOUSE PRICE'!$G1012&lt;=1000000,"Medium",
IF(' BENGALURU HOUSE PRICE'!$G1012&lt;=3000000,"High","Luxury")))</f>
        <v>Medium</v>
      </c>
    </row>
    <row r="1013" spans="1:8" ht="15.75" customHeight="1" x14ac:dyDescent="0.25">
      <c r="A1013" s="19" t="s">
        <v>446</v>
      </c>
      <c r="B1013" s="19">
        <v>1225</v>
      </c>
      <c r="C1013" s="19">
        <v>2</v>
      </c>
      <c r="D1013" s="19">
        <v>2</v>
      </c>
      <c r="E1013" s="23" t="s">
        <v>262</v>
      </c>
      <c r="F1013" s="19" t="str">
        <f t="shared" si="3"/>
        <v>Medium</v>
      </c>
      <c r="G1013" s="19">
        <v>530000</v>
      </c>
      <c r="H1013" s="19" t="str">
        <f>IF(' BENGALURU HOUSE PRICE'!$G1013&lt;=500000,"Low",
IF(' BENGALURU HOUSE PRICE'!$G1013&lt;=1000000,"Medium",
IF(' BENGALURU HOUSE PRICE'!$G1013&lt;=3000000,"High","Luxury")))</f>
        <v>Medium</v>
      </c>
    </row>
    <row r="1014" spans="1:8" ht="15.75" customHeight="1" x14ac:dyDescent="0.25">
      <c r="A1014" s="19" t="s">
        <v>337</v>
      </c>
      <c r="B1014" s="19">
        <v>1256</v>
      </c>
      <c r="C1014" s="19">
        <v>2</v>
      </c>
      <c r="D1014" s="19">
        <v>1</v>
      </c>
      <c r="E1014" s="23" t="s">
        <v>262</v>
      </c>
      <c r="F1014" s="19" t="str">
        <f t="shared" si="3"/>
        <v>Medium</v>
      </c>
      <c r="G1014" s="19">
        <v>628000</v>
      </c>
      <c r="H1014" s="19" t="str">
        <f>IF(' BENGALURU HOUSE PRICE'!$G1014&lt;=500000,"Low",
IF(' BENGALURU HOUSE PRICE'!$G1014&lt;=1000000,"Medium",
IF(' BENGALURU HOUSE PRICE'!$G1014&lt;=3000000,"High","Luxury")))</f>
        <v>Medium</v>
      </c>
    </row>
    <row r="1015" spans="1:8" ht="15.75" customHeight="1" x14ac:dyDescent="0.25">
      <c r="A1015" s="19" t="s">
        <v>25</v>
      </c>
      <c r="B1015" s="19">
        <v>2268</v>
      </c>
      <c r="C1015" s="19">
        <v>3</v>
      </c>
      <c r="D1015" s="19">
        <v>2</v>
      </c>
      <c r="E1015" s="23" t="s">
        <v>264</v>
      </c>
      <c r="F1015" s="19" t="str">
        <f t="shared" si="3"/>
        <v>Large</v>
      </c>
      <c r="G1015" s="19">
        <v>1630000</v>
      </c>
      <c r="H1015" s="19" t="str">
        <f>IF(' BENGALURU HOUSE PRICE'!$G1015&lt;=500000,"Low",
IF(' BENGALURU HOUSE PRICE'!$G1015&lt;=1000000,"Medium",
IF(' BENGALURU HOUSE PRICE'!$G1015&lt;=3000000,"High","Luxury")))</f>
        <v>High</v>
      </c>
    </row>
    <row r="1016" spans="1:8" ht="15.75" customHeight="1" x14ac:dyDescent="0.25">
      <c r="A1016" s="19" t="s">
        <v>19</v>
      </c>
      <c r="B1016" s="19">
        <v>1100</v>
      </c>
      <c r="C1016" s="19">
        <v>3</v>
      </c>
      <c r="D1016" s="19">
        <v>2</v>
      </c>
      <c r="E1016" s="23" t="s">
        <v>27</v>
      </c>
      <c r="F1016" s="19" t="str">
        <f t="shared" si="3"/>
        <v>Medium</v>
      </c>
      <c r="G1016" s="19">
        <v>530000</v>
      </c>
      <c r="H1016" s="19" t="str">
        <f>IF(' BENGALURU HOUSE PRICE'!$G1016&lt;=500000,"Low",
IF(' BENGALURU HOUSE PRICE'!$G1016&lt;=1000000,"Medium",
IF(' BENGALURU HOUSE PRICE'!$G1016&lt;=3000000,"High","Luxury")))</f>
        <v>Medium</v>
      </c>
    </row>
    <row r="1017" spans="1:8" ht="15.75" customHeight="1" x14ac:dyDescent="0.25">
      <c r="A1017" s="19" t="s">
        <v>239</v>
      </c>
      <c r="B1017" s="19">
        <v>1141</v>
      </c>
      <c r="C1017" s="19">
        <v>2</v>
      </c>
      <c r="D1017" s="19">
        <v>0</v>
      </c>
      <c r="E1017" s="23" t="s">
        <v>262</v>
      </c>
      <c r="F1017" s="19" t="str">
        <f t="shared" si="3"/>
        <v>Medium</v>
      </c>
      <c r="G1017" s="19">
        <v>620000</v>
      </c>
      <c r="H1017" s="19" t="str">
        <f>IF(' BENGALURU HOUSE PRICE'!$G1017&lt;=500000,"Low",
IF(' BENGALURU HOUSE PRICE'!$G1017&lt;=1000000,"Medium",
IF(' BENGALURU HOUSE PRICE'!$G1017&lt;=3000000,"High","Luxury")))</f>
        <v>Medium</v>
      </c>
    </row>
    <row r="1018" spans="1:8" ht="15.75" customHeight="1" x14ac:dyDescent="0.25">
      <c r="A1018" s="19" t="s">
        <v>299</v>
      </c>
      <c r="B1018" s="19">
        <v>400</v>
      </c>
      <c r="C1018" s="19">
        <v>1</v>
      </c>
      <c r="D1018" s="19">
        <v>1</v>
      </c>
      <c r="E1018" s="23" t="s">
        <v>267</v>
      </c>
      <c r="F1018" s="19" t="str">
        <f t="shared" si="3"/>
        <v>Small</v>
      </c>
      <c r="G1018" s="19">
        <v>120000</v>
      </c>
      <c r="H1018" s="19" t="str">
        <f>IF(' BENGALURU HOUSE PRICE'!$G1018&lt;=500000,"Low",
IF(' BENGALURU HOUSE PRICE'!$G1018&lt;=1000000,"Medium",
IF(' BENGALURU HOUSE PRICE'!$G1018&lt;=3000000,"High","Luxury")))</f>
        <v>Low</v>
      </c>
    </row>
    <row r="1019" spans="1:8" ht="15.75" customHeight="1" x14ac:dyDescent="0.25">
      <c r="A1019" s="19" t="s">
        <v>74</v>
      </c>
      <c r="B1019" s="19">
        <v>1400</v>
      </c>
      <c r="C1019" s="19">
        <v>2</v>
      </c>
      <c r="D1019" s="19">
        <v>0</v>
      </c>
      <c r="E1019" s="23" t="s">
        <v>262</v>
      </c>
      <c r="F1019" s="19" t="str">
        <f t="shared" si="3"/>
        <v>Medium</v>
      </c>
      <c r="G1019" s="19">
        <v>600000</v>
      </c>
      <c r="H1019" s="19" t="str">
        <f>IF(' BENGALURU HOUSE PRICE'!$G1019&lt;=500000,"Low",
IF(' BENGALURU HOUSE PRICE'!$G1019&lt;=1000000,"Medium",
IF(' BENGALURU HOUSE PRICE'!$G1019&lt;=3000000,"High","Luxury")))</f>
        <v>Medium</v>
      </c>
    </row>
    <row r="1020" spans="1:8" ht="15.75" customHeight="1" x14ac:dyDescent="0.25">
      <c r="A1020" s="19" t="s">
        <v>447</v>
      </c>
      <c r="B1020" s="19">
        <v>4100</v>
      </c>
      <c r="C1020" s="19">
        <v>7</v>
      </c>
      <c r="D1020" s="19">
        <v>2</v>
      </c>
      <c r="E1020" s="23" t="s">
        <v>290</v>
      </c>
      <c r="F1020" s="19" t="str">
        <f t="shared" si="3"/>
        <v>Large</v>
      </c>
      <c r="G1020" s="19">
        <v>1400000</v>
      </c>
      <c r="H1020" s="19" t="str">
        <f>IF(' BENGALURU HOUSE PRICE'!$G1020&lt;=500000,"Low",
IF(' BENGALURU HOUSE PRICE'!$G1020&lt;=1000000,"Medium",
IF(' BENGALURU HOUSE PRICE'!$G1020&lt;=3000000,"High","Luxury")))</f>
        <v>High</v>
      </c>
    </row>
    <row r="1021" spans="1:8" ht="15.75" customHeight="1" x14ac:dyDescent="0.25">
      <c r="A1021" s="19" t="s">
        <v>448</v>
      </c>
      <c r="B1021" s="19">
        <v>1559</v>
      </c>
      <c r="C1021" s="19">
        <v>1</v>
      </c>
      <c r="D1021" s="19">
        <v>0</v>
      </c>
      <c r="E1021" s="23" t="s">
        <v>267</v>
      </c>
      <c r="F1021" s="19" t="str">
        <f t="shared" si="3"/>
        <v>Medium</v>
      </c>
      <c r="G1021" s="19">
        <v>1100000</v>
      </c>
      <c r="H1021" s="19" t="str">
        <f>IF(' BENGALURU HOUSE PRICE'!$G1021&lt;=500000,"Low",
IF(' BENGALURU HOUSE PRICE'!$G1021&lt;=1000000,"Medium",
IF(' BENGALURU HOUSE PRICE'!$G1021&lt;=3000000,"High","Luxury")))</f>
        <v>High</v>
      </c>
    </row>
    <row r="1022" spans="1:8" ht="15.75" customHeight="1" x14ac:dyDescent="0.25">
      <c r="A1022" s="19" t="s">
        <v>449</v>
      </c>
      <c r="B1022" s="19">
        <v>15</v>
      </c>
      <c r="C1022" s="19">
        <v>1</v>
      </c>
      <c r="D1022" s="19">
        <v>0</v>
      </c>
      <c r="E1022" s="23" t="s">
        <v>267</v>
      </c>
      <c r="F1022" s="19" t="str">
        <f t="shared" ref="F1022:F1256" si="4">IF(B1022&gt;2000,"Large",IF(B1022&gt;1000,"Medium","Small"))</f>
        <v>Small</v>
      </c>
      <c r="G1022" s="19">
        <v>300000</v>
      </c>
      <c r="H1022" s="19" t="str">
        <f>IF(' BENGALURU HOUSE PRICE'!$G1022&lt;=500000,"Low",
IF(' BENGALURU HOUSE PRICE'!$G1022&lt;=1000000,"Medium",
IF(' BENGALURU HOUSE PRICE'!$G1022&lt;=3000000,"High","Luxury")))</f>
        <v>Low</v>
      </c>
    </row>
    <row r="1023" spans="1:8" ht="15.75" customHeight="1" x14ac:dyDescent="0.25">
      <c r="A1023" s="19" t="s">
        <v>450</v>
      </c>
      <c r="B1023" s="19">
        <v>1175</v>
      </c>
      <c r="C1023" s="19">
        <v>2</v>
      </c>
      <c r="D1023" s="19">
        <v>2</v>
      </c>
      <c r="E1023" s="23" t="s">
        <v>262</v>
      </c>
      <c r="F1023" s="19" t="str">
        <f t="shared" si="4"/>
        <v>Medium</v>
      </c>
      <c r="G1023" s="19">
        <v>482700</v>
      </c>
      <c r="H1023" s="19" t="str">
        <f>IF(' BENGALURU HOUSE PRICE'!$G1023&lt;=500000,"Low",
IF(' BENGALURU HOUSE PRICE'!$G1023&lt;=1000000,"Medium",
IF(' BENGALURU HOUSE PRICE'!$G1023&lt;=3000000,"High","Luxury")))</f>
        <v>Low</v>
      </c>
    </row>
    <row r="1024" spans="1:8" ht="15.75" customHeight="1" x14ac:dyDescent="0.25">
      <c r="A1024" s="19" t="s">
        <v>207</v>
      </c>
      <c r="B1024" s="19">
        <v>1100</v>
      </c>
      <c r="C1024" s="19">
        <v>2</v>
      </c>
      <c r="D1024" s="19">
        <v>1</v>
      </c>
      <c r="E1024" s="23" t="s">
        <v>262</v>
      </c>
      <c r="F1024" s="19" t="str">
        <f t="shared" si="4"/>
        <v>Medium</v>
      </c>
      <c r="G1024" s="19">
        <v>560000</v>
      </c>
      <c r="H1024" s="19" t="str">
        <f>IF(' BENGALURU HOUSE PRICE'!$G1024&lt;=500000,"Low",
IF(' BENGALURU HOUSE PRICE'!$G1024&lt;=1000000,"Medium",
IF(' BENGALURU HOUSE PRICE'!$G1024&lt;=3000000,"High","Luxury")))</f>
        <v>Medium</v>
      </c>
    </row>
    <row r="1025" spans="1:8" ht="15.75" customHeight="1" x14ac:dyDescent="0.25">
      <c r="A1025" s="19" t="s">
        <v>19</v>
      </c>
      <c r="B1025" s="19">
        <v>1843</v>
      </c>
      <c r="C1025" s="19">
        <v>3</v>
      </c>
      <c r="D1025" s="19">
        <v>2</v>
      </c>
      <c r="E1025" s="23" t="s">
        <v>27</v>
      </c>
      <c r="F1025" s="19" t="str">
        <f t="shared" si="4"/>
        <v>Medium</v>
      </c>
      <c r="G1025" s="19">
        <v>958400</v>
      </c>
      <c r="H1025" s="19" t="str">
        <f>IF(' BENGALURU HOUSE PRICE'!$G1025&lt;=500000,"Low",
IF(' BENGALURU HOUSE PRICE'!$G1025&lt;=1000000,"Medium",
IF(' BENGALURU HOUSE PRICE'!$G1025&lt;=3000000,"High","Luxury")))</f>
        <v>Medium</v>
      </c>
    </row>
    <row r="1026" spans="1:8" ht="15.75" customHeight="1" x14ac:dyDescent="0.25">
      <c r="A1026" s="19" t="s">
        <v>437</v>
      </c>
      <c r="B1026" s="19">
        <v>1200</v>
      </c>
      <c r="C1026" s="19">
        <v>7</v>
      </c>
      <c r="D1026" s="19">
        <v>2</v>
      </c>
      <c r="E1026" s="23" t="s">
        <v>271</v>
      </c>
      <c r="F1026" s="19" t="str">
        <f t="shared" si="4"/>
        <v>Medium</v>
      </c>
      <c r="G1026" s="19">
        <v>2400000</v>
      </c>
      <c r="H1026" s="19" t="str">
        <f>IF(' BENGALURU HOUSE PRICE'!$G1026&lt;=500000,"Low",
IF(' BENGALURU HOUSE PRICE'!$G1026&lt;=1000000,"Medium",
IF(' BENGALURU HOUSE PRICE'!$G1026&lt;=3000000,"High","Luxury")))</f>
        <v>High</v>
      </c>
    </row>
    <row r="1027" spans="1:8" ht="15.75" customHeight="1" x14ac:dyDescent="0.25">
      <c r="A1027" s="19" t="s">
        <v>116</v>
      </c>
      <c r="B1027" s="19">
        <v>1460</v>
      </c>
      <c r="C1027" s="19">
        <v>2</v>
      </c>
      <c r="D1027" s="19">
        <v>1</v>
      </c>
      <c r="E1027" s="23" t="s">
        <v>262</v>
      </c>
      <c r="F1027" s="19" t="str">
        <f t="shared" si="4"/>
        <v>Medium</v>
      </c>
      <c r="G1027" s="19">
        <v>805000</v>
      </c>
      <c r="H1027" s="19" t="str">
        <f>IF(' BENGALURU HOUSE PRICE'!$G1027&lt;=500000,"Low",
IF(' BENGALURU HOUSE PRICE'!$G1027&lt;=1000000,"Medium",
IF(' BENGALURU HOUSE PRICE'!$G1027&lt;=3000000,"High","Luxury")))</f>
        <v>Medium</v>
      </c>
    </row>
    <row r="1028" spans="1:8" ht="15.75" customHeight="1" x14ac:dyDescent="0.25">
      <c r="A1028" s="19" t="s">
        <v>196</v>
      </c>
      <c r="B1028" s="19">
        <v>1530</v>
      </c>
      <c r="C1028" s="19">
        <v>2</v>
      </c>
      <c r="D1028" s="19">
        <v>2</v>
      </c>
      <c r="E1028" s="23" t="s">
        <v>27</v>
      </c>
      <c r="F1028" s="19" t="str">
        <f t="shared" si="4"/>
        <v>Medium</v>
      </c>
      <c r="G1028" s="19">
        <v>745000</v>
      </c>
      <c r="H1028" s="19" t="str">
        <f>IF(' BENGALURU HOUSE PRICE'!$G1028&lt;=500000,"Low",
IF(' BENGALURU HOUSE PRICE'!$G1028&lt;=1000000,"Medium",
IF(' BENGALURU HOUSE PRICE'!$G1028&lt;=3000000,"High","Luxury")))</f>
        <v>Medium</v>
      </c>
    </row>
    <row r="1029" spans="1:8" ht="15.75" customHeight="1" x14ac:dyDescent="0.25">
      <c r="A1029" s="19" t="s">
        <v>122</v>
      </c>
      <c r="B1029" s="19">
        <v>1467</v>
      </c>
      <c r="C1029" s="19">
        <v>2</v>
      </c>
      <c r="D1029" s="19">
        <v>1</v>
      </c>
      <c r="E1029" s="23" t="s">
        <v>262</v>
      </c>
      <c r="F1029" s="19" t="str">
        <f t="shared" si="4"/>
        <v>Medium</v>
      </c>
      <c r="G1029" s="19">
        <v>550000</v>
      </c>
      <c r="H1029" s="19" t="str">
        <f>IF(' BENGALURU HOUSE PRICE'!$G1029&lt;=500000,"Low",
IF(' BENGALURU HOUSE PRICE'!$G1029&lt;=1000000,"Medium",
IF(' BENGALURU HOUSE PRICE'!$G1029&lt;=3000000,"High","Luxury")))</f>
        <v>Medium</v>
      </c>
    </row>
    <row r="1030" spans="1:8" ht="15.75" customHeight="1" x14ac:dyDescent="0.25">
      <c r="A1030" s="19" t="s">
        <v>451</v>
      </c>
      <c r="B1030" s="19">
        <v>950</v>
      </c>
      <c r="C1030" s="19">
        <v>1</v>
      </c>
      <c r="D1030" s="19">
        <v>1</v>
      </c>
      <c r="E1030" s="23" t="s">
        <v>267</v>
      </c>
      <c r="F1030" s="19" t="str">
        <f t="shared" si="4"/>
        <v>Small</v>
      </c>
      <c r="G1030" s="19">
        <v>400000</v>
      </c>
      <c r="H1030" s="19" t="str">
        <f>IF(' BENGALURU HOUSE PRICE'!$G1030&lt;=500000,"Low",
IF(' BENGALURU HOUSE PRICE'!$G1030&lt;=1000000,"Medium",
IF(' BENGALURU HOUSE PRICE'!$G1030&lt;=3000000,"High","Luxury")))</f>
        <v>Low</v>
      </c>
    </row>
    <row r="1031" spans="1:8" ht="15.75" customHeight="1" x14ac:dyDescent="0.25">
      <c r="A1031" s="19" t="s">
        <v>348</v>
      </c>
      <c r="B1031" s="19">
        <v>1246</v>
      </c>
      <c r="C1031" s="19">
        <v>2</v>
      </c>
      <c r="D1031" s="19">
        <v>1</v>
      </c>
      <c r="E1031" s="23" t="s">
        <v>262</v>
      </c>
      <c r="F1031" s="19" t="str">
        <f t="shared" si="4"/>
        <v>Medium</v>
      </c>
      <c r="G1031" s="19">
        <v>645000</v>
      </c>
      <c r="H1031" s="19" t="str">
        <f>IF(' BENGALURU HOUSE PRICE'!$G1031&lt;=500000,"Low",
IF(' BENGALURU HOUSE PRICE'!$G1031&lt;=1000000,"Medium",
IF(' BENGALURU HOUSE PRICE'!$G1031&lt;=3000000,"High","Luxury")))</f>
        <v>Medium</v>
      </c>
    </row>
    <row r="1032" spans="1:8" ht="15.75" customHeight="1" x14ac:dyDescent="0.25">
      <c r="A1032" s="19" t="s">
        <v>143</v>
      </c>
      <c r="B1032" s="19">
        <v>711</v>
      </c>
      <c r="C1032" s="19">
        <v>1</v>
      </c>
      <c r="D1032" s="19">
        <v>1</v>
      </c>
      <c r="E1032" s="23" t="s">
        <v>267</v>
      </c>
      <c r="F1032" s="19" t="str">
        <f t="shared" si="4"/>
        <v>Small</v>
      </c>
      <c r="G1032" s="19">
        <v>380000</v>
      </c>
      <c r="H1032" s="19" t="str">
        <f>IF(' BENGALURU HOUSE PRICE'!$G1032&lt;=500000,"Low",
IF(' BENGALURU HOUSE PRICE'!$G1032&lt;=1000000,"Medium",
IF(' BENGALURU HOUSE PRICE'!$G1032&lt;=3000000,"High","Luxury")))</f>
        <v>Low</v>
      </c>
    </row>
    <row r="1033" spans="1:8" ht="15.75" customHeight="1" x14ac:dyDescent="0.25">
      <c r="A1033" s="19" t="s">
        <v>17</v>
      </c>
      <c r="B1033" s="19">
        <v>1194</v>
      </c>
      <c r="C1033" s="19">
        <v>2</v>
      </c>
      <c r="D1033" s="19">
        <v>2</v>
      </c>
      <c r="E1033" s="23" t="s">
        <v>262</v>
      </c>
      <c r="F1033" s="19" t="str">
        <f t="shared" si="4"/>
        <v>Medium</v>
      </c>
      <c r="G1033" s="19">
        <v>460000</v>
      </c>
      <c r="H1033" s="19" t="str">
        <f>IF(' BENGALURU HOUSE PRICE'!$G1033&lt;=500000,"Low",
IF(' BENGALURU HOUSE PRICE'!$G1033&lt;=1000000,"Medium",
IF(' BENGALURU HOUSE PRICE'!$G1033&lt;=3000000,"High","Luxury")))</f>
        <v>Low</v>
      </c>
    </row>
    <row r="1034" spans="1:8" ht="15.75" customHeight="1" x14ac:dyDescent="0.25">
      <c r="A1034" s="19" t="s">
        <v>46</v>
      </c>
      <c r="B1034" s="19">
        <v>1358</v>
      </c>
      <c r="C1034" s="19">
        <v>2</v>
      </c>
      <c r="D1034" s="19">
        <v>1</v>
      </c>
      <c r="E1034" s="23" t="s">
        <v>27</v>
      </c>
      <c r="F1034" s="19" t="str">
        <f t="shared" si="4"/>
        <v>Medium</v>
      </c>
      <c r="G1034" s="19">
        <v>434000</v>
      </c>
      <c r="H1034" s="19" t="str">
        <f>IF(' BENGALURU HOUSE PRICE'!$G1034&lt;=500000,"Low",
IF(' BENGALURU HOUSE PRICE'!$G1034&lt;=1000000,"Medium",
IF(' BENGALURU HOUSE PRICE'!$G1034&lt;=3000000,"High","Luxury")))</f>
        <v>Low</v>
      </c>
    </row>
    <row r="1035" spans="1:8" ht="15.75" customHeight="1" x14ac:dyDescent="0.25">
      <c r="A1035" s="19" t="s">
        <v>304</v>
      </c>
      <c r="B1035" s="19">
        <v>1500</v>
      </c>
      <c r="C1035" s="19">
        <v>5</v>
      </c>
      <c r="D1035" s="19">
        <v>1</v>
      </c>
      <c r="E1035" s="23" t="s">
        <v>266</v>
      </c>
      <c r="F1035" s="19" t="str">
        <f t="shared" si="4"/>
        <v>Medium</v>
      </c>
      <c r="G1035" s="19">
        <v>1300000</v>
      </c>
      <c r="H1035" s="19" t="str">
        <f>IF(' BENGALURU HOUSE PRICE'!$G1035&lt;=500000,"Low",
IF(' BENGALURU HOUSE PRICE'!$G1035&lt;=1000000,"Medium",
IF(' BENGALURU HOUSE PRICE'!$G1035&lt;=3000000,"High","Luxury")))</f>
        <v>High</v>
      </c>
    </row>
    <row r="1036" spans="1:8" ht="15.75" customHeight="1" x14ac:dyDescent="0.25">
      <c r="A1036" s="19" t="s">
        <v>113</v>
      </c>
      <c r="B1036" s="19">
        <v>1420</v>
      </c>
      <c r="C1036" s="19">
        <v>2</v>
      </c>
      <c r="D1036" s="19">
        <v>2</v>
      </c>
      <c r="E1036" s="23" t="s">
        <v>262</v>
      </c>
      <c r="F1036" s="19" t="str">
        <f t="shared" si="4"/>
        <v>Medium</v>
      </c>
      <c r="G1036" s="19">
        <v>750000</v>
      </c>
      <c r="H1036" s="19" t="str">
        <f>IF(' BENGALURU HOUSE PRICE'!$G1036&lt;=500000,"Low",
IF(' BENGALURU HOUSE PRICE'!$G1036&lt;=1000000,"Medium",
IF(' BENGALURU HOUSE PRICE'!$G1036&lt;=3000000,"High","Luxury")))</f>
        <v>Medium</v>
      </c>
    </row>
    <row r="1037" spans="1:8" ht="15.75" customHeight="1" x14ac:dyDescent="0.25">
      <c r="A1037" s="19" t="s">
        <v>147</v>
      </c>
      <c r="B1037" s="19">
        <v>1250</v>
      </c>
      <c r="C1037" s="19">
        <v>2</v>
      </c>
      <c r="D1037" s="19">
        <v>1</v>
      </c>
      <c r="E1037" s="23" t="s">
        <v>27</v>
      </c>
      <c r="F1037" s="19" t="str">
        <f t="shared" si="4"/>
        <v>Medium</v>
      </c>
      <c r="G1037" s="19">
        <v>687500</v>
      </c>
      <c r="H1037" s="19" t="str">
        <f>IF(' BENGALURU HOUSE PRICE'!$G1037&lt;=500000,"Low",
IF(' BENGALURU HOUSE PRICE'!$G1037&lt;=1000000,"Medium",
IF(' BENGALURU HOUSE PRICE'!$G1037&lt;=3000000,"High","Luxury")))</f>
        <v>Medium</v>
      </c>
    </row>
    <row r="1038" spans="1:8" ht="15.75" customHeight="1" x14ac:dyDescent="0.25">
      <c r="A1038" s="19" t="s">
        <v>35</v>
      </c>
      <c r="B1038" s="19">
        <v>1280</v>
      </c>
      <c r="C1038" s="19">
        <v>2</v>
      </c>
      <c r="D1038" s="19">
        <v>2</v>
      </c>
      <c r="E1038" s="23" t="s">
        <v>262</v>
      </c>
      <c r="F1038" s="19" t="str">
        <f t="shared" si="4"/>
        <v>Medium</v>
      </c>
      <c r="G1038" s="19">
        <v>580000</v>
      </c>
      <c r="H1038" s="19" t="str">
        <f>IF(' BENGALURU HOUSE PRICE'!$G1038&lt;=500000,"Low",
IF(' BENGALURU HOUSE PRICE'!$G1038&lt;=1000000,"Medium",
IF(' BENGALURU HOUSE PRICE'!$G1038&lt;=3000000,"High","Luxury")))</f>
        <v>Medium</v>
      </c>
    </row>
    <row r="1039" spans="1:8" ht="15.75" customHeight="1" x14ac:dyDescent="0.25">
      <c r="A1039" s="19" t="s">
        <v>452</v>
      </c>
      <c r="B1039" s="19">
        <v>1209</v>
      </c>
      <c r="C1039" s="19">
        <v>2</v>
      </c>
      <c r="D1039" s="19">
        <v>1</v>
      </c>
      <c r="E1039" s="23" t="s">
        <v>262</v>
      </c>
      <c r="F1039" s="19" t="str">
        <f t="shared" si="4"/>
        <v>Medium</v>
      </c>
      <c r="G1039" s="19">
        <v>500000</v>
      </c>
      <c r="H1039" s="19" t="str">
        <f>IF(' BENGALURU HOUSE PRICE'!$G1039&lt;=500000,"Low",
IF(' BENGALURU HOUSE PRICE'!$G1039&lt;=1000000,"Medium",
IF(' BENGALURU HOUSE PRICE'!$G1039&lt;=3000000,"High","Luxury")))</f>
        <v>Low</v>
      </c>
    </row>
    <row r="1040" spans="1:8" ht="15.75" customHeight="1" x14ac:dyDescent="0.25">
      <c r="A1040" s="19" t="s">
        <v>453</v>
      </c>
      <c r="B1040" s="19">
        <v>4200</v>
      </c>
      <c r="C1040" s="19">
        <v>5</v>
      </c>
      <c r="D1040" s="19">
        <v>2</v>
      </c>
      <c r="E1040" s="23" t="s">
        <v>292</v>
      </c>
      <c r="F1040" s="19" t="str">
        <f t="shared" si="4"/>
        <v>Large</v>
      </c>
      <c r="G1040" s="19">
        <v>2250000</v>
      </c>
      <c r="H1040" s="19" t="str">
        <f>IF(' BENGALURU HOUSE PRICE'!$G1040&lt;=500000,"Low",
IF(' BENGALURU HOUSE PRICE'!$G1040&lt;=1000000,"Medium",
IF(' BENGALURU HOUSE PRICE'!$G1040&lt;=3000000,"High","Luxury")))</f>
        <v>High</v>
      </c>
    </row>
    <row r="1041" spans="1:8" ht="15.75" customHeight="1" x14ac:dyDescent="0.25">
      <c r="A1041" s="19" t="s">
        <v>454</v>
      </c>
      <c r="B1041" s="19">
        <v>1215</v>
      </c>
      <c r="C1041" s="19">
        <v>4</v>
      </c>
      <c r="D1041" s="19">
        <v>3</v>
      </c>
      <c r="E1041" s="23" t="s">
        <v>264</v>
      </c>
      <c r="F1041" s="19" t="str">
        <f t="shared" si="4"/>
        <v>Medium</v>
      </c>
      <c r="G1041" s="19">
        <v>2050000</v>
      </c>
      <c r="H1041" s="19" t="str">
        <f>IF(' BENGALURU HOUSE PRICE'!$G1041&lt;=500000,"Low",
IF(' BENGALURU HOUSE PRICE'!$G1041&lt;=1000000,"Medium",
IF(' BENGALURU HOUSE PRICE'!$G1041&lt;=3000000,"High","Luxury")))</f>
        <v>High</v>
      </c>
    </row>
    <row r="1042" spans="1:8" ht="15.75" customHeight="1" x14ac:dyDescent="0.25">
      <c r="A1042" s="19" t="s">
        <v>192</v>
      </c>
      <c r="B1042" s="19">
        <v>1315</v>
      </c>
      <c r="C1042" s="19">
        <v>2</v>
      </c>
      <c r="D1042" s="19">
        <v>1</v>
      </c>
      <c r="E1042" s="23" t="s">
        <v>27</v>
      </c>
      <c r="F1042" s="19" t="str">
        <f t="shared" si="4"/>
        <v>Medium</v>
      </c>
      <c r="G1042" s="19">
        <v>548000</v>
      </c>
      <c r="H1042" s="19" t="str">
        <f>IF(' BENGALURU HOUSE PRICE'!$G1042&lt;=500000,"Low",
IF(' BENGALURU HOUSE PRICE'!$G1042&lt;=1000000,"Medium",
IF(' BENGALURU HOUSE PRICE'!$G1042&lt;=3000000,"High","Luxury")))</f>
        <v>Medium</v>
      </c>
    </row>
    <row r="1043" spans="1:8" ht="15.75" customHeight="1" x14ac:dyDescent="0.25">
      <c r="A1043" s="19" t="s">
        <v>144</v>
      </c>
      <c r="B1043" s="19">
        <v>1800</v>
      </c>
      <c r="C1043" s="19">
        <v>3</v>
      </c>
      <c r="D1043" s="19">
        <v>3</v>
      </c>
      <c r="E1043" s="23" t="s">
        <v>27</v>
      </c>
      <c r="F1043" s="19" t="str">
        <f t="shared" si="4"/>
        <v>Medium</v>
      </c>
      <c r="G1043" s="19">
        <v>900000</v>
      </c>
      <c r="H1043" s="19" t="str">
        <f>IF(' BENGALURU HOUSE PRICE'!$G1043&lt;=500000,"Low",
IF(' BENGALURU HOUSE PRICE'!$G1043&lt;=1000000,"Medium",
IF(' BENGALURU HOUSE PRICE'!$G1043&lt;=3000000,"High","Luxury")))</f>
        <v>Medium</v>
      </c>
    </row>
    <row r="1044" spans="1:8" ht="15.75" customHeight="1" x14ac:dyDescent="0.25">
      <c r="A1044" s="19" t="s">
        <v>455</v>
      </c>
      <c r="B1044" s="19">
        <v>1600</v>
      </c>
      <c r="C1044" s="19">
        <v>4</v>
      </c>
      <c r="D1044" s="19">
        <v>0</v>
      </c>
      <c r="E1044" s="23" t="s">
        <v>292</v>
      </c>
      <c r="F1044" s="19" t="str">
        <f t="shared" si="4"/>
        <v>Medium</v>
      </c>
      <c r="G1044" s="19">
        <v>1250000</v>
      </c>
      <c r="H1044" s="19" t="str">
        <f>IF(' BENGALURU HOUSE PRICE'!$G1044&lt;=500000,"Low",
IF(' BENGALURU HOUSE PRICE'!$G1044&lt;=1000000,"Medium",
IF(' BENGALURU HOUSE PRICE'!$G1044&lt;=3000000,"High","Luxury")))</f>
        <v>High</v>
      </c>
    </row>
    <row r="1045" spans="1:8" ht="15.75" customHeight="1" x14ac:dyDescent="0.25">
      <c r="A1045" s="19" t="s">
        <v>229</v>
      </c>
      <c r="B1045" s="19">
        <v>1600</v>
      </c>
      <c r="C1045" s="19">
        <v>2</v>
      </c>
      <c r="D1045" s="19">
        <v>2</v>
      </c>
      <c r="E1045" s="23" t="s">
        <v>27</v>
      </c>
      <c r="F1045" s="19" t="str">
        <f t="shared" si="4"/>
        <v>Medium</v>
      </c>
      <c r="G1045" s="19">
        <v>650000</v>
      </c>
      <c r="H1045" s="19" t="str">
        <f>IF(' BENGALURU HOUSE PRICE'!$G1045&lt;=500000,"Low",
IF(' BENGALURU HOUSE PRICE'!$G1045&lt;=1000000,"Medium",
IF(' BENGALURU HOUSE PRICE'!$G1045&lt;=3000000,"High","Luxury")))</f>
        <v>Medium</v>
      </c>
    </row>
    <row r="1046" spans="1:8" ht="15.75" customHeight="1" x14ac:dyDescent="0.25">
      <c r="A1046" s="19" t="s">
        <v>2</v>
      </c>
      <c r="B1046" s="19">
        <v>3968</v>
      </c>
      <c r="C1046" s="19">
        <v>5</v>
      </c>
      <c r="D1046" s="19">
        <v>2</v>
      </c>
      <c r="E1046" s="23" t="s">
        <v>266</v>
      </c>
      <c r="F1046" s="19" t="str">
        <f t="shared" si="4"/>
        <v>Large</v>
      </c>
      <c r="G1046" s="19">
        <v>9000000</v>
      </c>
      <c r="H1046" s="19" t="str">
        <f>IF(' BENGALURU HOUSE PRICE'!$G1046&lt;=500000,"Low",
IF(' BENGALURU HOUSE PRICE'!$G1046&lt;=1000000,"Medium",
IF(' BENGALURU HOUSE PRICE'!$G1046&lt;=3000000,"High","Luxury")))</f>
        <v>Luxury</v>
      </c>
    </row>
    <row r="1047" spans="1:8" ht="15.75" customHeight="1" x14ac:dyDescent="0.25">
      <c r="A1047" s="19" t="s">
        <v>225</v>
      </c>
      <c r="B1047" s="19">
        <v>1563</v>
      </c>
      <c r="C1047" s="19">
        <v>3</v>
      </c>
      <c r="D1047" s="19">
        <v>2</v>
      </c>
      <c r="E1047" s="23" t="s">
        <v>27</v>
      </c>
      <c r="F1047" s="19" t="str">
        <f t="shared" si="4"/>
        <v>Medium</v>
      </c>
      <c r="G1047" s="19">
        <v>520000</v>
      </c>
      <c r="H1047" s="19" t="str">
        <f>IF(' BENGALURU HOUSE PRICE'!$G1047&lt;=500000,"Low",
IF(' BENGALURU HOUSE PRICE'!$G1047&lt;=1000000,"Medium",
IF(' BENGALURU HOUSE PRICE'!$G1047&lt;=3000000,"High","Luxury")))</f>
        <v>Medium</v>
      </c>
    </row>
    <row r="1048" spans="1:8" ht="15.75" customHeight="1" x14ac:dyDescent="0.25">
      <c r="A1048" s="19" t="s">
        <v>25</v>
      </c>
      <c r="B1048" s="19">
        <v>1560</v>
      </c>
      <c r="C1048" s="19">
        <v>2</v>
      </c>
      <c r="D1048" s="19">
        <v>2</v>
      </c>
      <c r="E1048" s="23" t="s">
        <v>27</v>
      </c>
      <c r="F1048" s="19" t="str">
        <f t="shared" si="4"/>
        <v>Medium</v>
      </c>
      <c r="G1048" s="19">
        <v>720000</v>
      </c>
      <c r="H1048" s="19" t="str">
        <f>IF(' BENGALURU HOUSE PRICE'!$G1048&lt;=500000,"Low",
IF(' BENGALURU HOUSE PRICE'!$G1048&lt;=1000000,"Medium",
IF(' BENGALURU HOUSE PRICE'!$G1048&lt;=3000000,"High","Luxury")))</f>
        <v>Medium</v>
      </c>
    </row>
    <row r="1049" spans="1:8" ht="15.75" customHeight="1" x14ac:dyDescent="0.25">
      <c r="A1049" s="19" t="s">
        <v>68</v>
      </c>
      <c r="B1049" s="19">
        <v>2169</v>
      </c>
      <c r="C1049" s="19">
        <v>4</v>
      </c>
      <c r="D1049" s="19">
        <v>2</v>
      </c>
      <c r="E1049" s="23" t="s">
        <v>27</v>
      </c>
      <c r="F1049" s="19" t="str">
        <f t="shared" si="4"/>
        <v>Large</v>
      </c>
      <c r="G1049" s="19">
        <v>1150000</v>
      </c>
      <c r="H1049" s="19" t="str">
        <f>IF(' BENGALURU HOUSE PRICE'!$G1049&lt;=500000,"Low",
IF(' BENGALURU HOUSE PRICE'!$G1049&lt;=1000000,"Medium",
IF(' BENGALURU HOUSE PRICE'!$G1049&lt;=3000000,"High","Luxury")))</f>
        <v>High</v>
      </c>
    </row>
    <row r="1050" spans="1:8" ht="15.75" customHeight="1" x14ac:dyDescent="0.25">
      <c r="A1050" s="19" t="s">
        <v>456</v>
      </c>
      <c r="B1050" s="19">
        <v>900</v>
      </c>
      <c r="C1050" s="19">
        <v>10</v>
      </c>
      <c r="D1050" s="19">
        <v>2</v>
      </c>
      <c r="E1050" s="23" t="s">
        <v>377</v>
      </c>
      <c r="F1050" s="19" t="str">
        <f t="shared" si="4"/>
        <v>Small</v>
      </c>
      <c r="G1050" s="19">
        <v>1700000</v>
      </c>
      <c r="H1050" s="19" t="str">
        <f>IF(' BENGALURU HOUSE PRICE'!$G1050&lt;=500000,"Low",
IF(' BENGALURU HOUSE PRICE'!$G1050&lt;=1000000,"Medium",
IF(' BENGALURU HOUSE PRICE'!$G1050&lt;=3000000,"High","Luxury")))</f>
        <v>High</v>
      </c>
    </row>
    <row r="1051" spans="1:8" ht="15.75" customHeight="1" x14ac:dyDescent="0.25">
      <c r="A1051" s="19" t="s">
        <v>196</v>
      </c>
      <c r="B1051" s="19">
        <v>1050</v>
      </c>
      <c r="C1051" s="19">
        <v>2</v>
      </c>
      <c r="D1051" s="19">
        <v>2</v>
      </c>
      <c r="E1051" s="23" t="s">
        <v>262</v>
      </c>
      <c r="F1051" s="19" t="str">
        <f t="shared" si="4"/>
        <v>Medium</v>
      </c>
      <c r="G1051" s="19">
        <v>555000</v>
      </c>
      <c r="H1051" s="19" t="str">
        <f>IF(' BENGALURU HOUSE PRICE'!$G1051&lt;=500000,"Low",
IF(' BENGALURU HOUSE PRICE'!$G1051&lt;=1000000,"Medium",
IF(' BENGALURU HOUSE PRICE'!$G1051&lt;=3000000,"High","Luxury")))</f>
        <v>Medium</v>
      </c>
    </row>
    <row r="1052" spans="1:8" ht="15.75" customHeight="1" x14ac:dyDescent="0.25">
      <c r="A1052" s="19" t="s">
        <v>125</v>
      </c>
      <c r="B1052" s="19">
        <v>3235</v>
      </c>
      <c r="C1052" s="19">
        <v>3</v>
      </c>
      <c r="D1052" s="19">
        <v>1</v>
      </c>
      <c r="E1052" s="23" t="s">
        <v>27</v>
      </c>
      <c r="F1052" s="19" t="str">
        <f t="shared" si="4"/>
        <v>Large</v>
      </c>
      <c r="G1052" s="19">
        <v>2350000</v>
      </c>
      <c r="H1052" s="19" t="str">
        <f>IF(' BENGALURU HOUSE PRICE'!$G1052&lt;=500000,"Low",
IF(' BENGALURU HOUSE PRICE'!$G1052&lt;=1000000,"Medium",
IF(' BENGALURU HOUSE PRICE'!$G1052&lt;=3000000,"High","Luxury")))</f>
        <v>High</v>
      </c>
    </row>
    <row r="1053" spans="1:8" ht="15.75" customHeight="1" x14ac:dyDescent="0.25">
      <c r="A1053" s="19" t="s">
        <v>229</v>
      </c>
      <c r="B1053" s="19">
        <v>1200</v>
      </c>
      <c r="C1053" s="19">
        <v>3</v>
      </c>
      <c r="D1053" s="19">
        <v>0</v>
      </c>
      <c r="E1053" s="23" t="s">
        <v>27</v>
      </c>
      <c r="F1053" s="19" t="str">
        <f t="shared" si="4"/>
        <v>Medium</v>
      </c>
      <c r="G1053" s="19">
        <v>660000</v>
      </c>
      <c r="H1053" s="19" t="str">
        <f>IF(' BENGALURU HOUSE PRICE'!$G1053&lt;=500000,"Low",
IF(' BENGALURU HOUSE PRICE'!$G1053&lt;=1000000,"Medium",
IF(' BENGALURU HOUSE PRICE'!$G1053&lt;=3000000,"High","Luxury")))</f>
        <v>Medium</v>
      </c>
    </row>
    <row r="1054" spans="1:8" ht="15.75" customHeight="1" x14ac:dyDescent="0.25">
      <c r="A1054" s="19" t="s">
        <v>122</v>
      </c>
      <c r="B1054" s="19">
        <v>1140</v>
      </c>
      <c r="C1054" s="19">
        <v>2</v>
      </c>
      <c r="D1054" s="19">
        <v>2</v>
      </c>
      <c r="E1054" s="23" t="s">
        <v>262</v>
      </c>
      <c r="F1054" s="19" t="str">
        <f t="shared" si="4"/>
        <v>Medium</v>
      </c>
      <c r="G1054" s="19">
        <v>460000</v>
      </c>
      <c r="H1054" s="19" t="str">
        <f>IF(' BENGALURU HOUSE PRICE'!$G1054&lt;=500000,"Low",
IF(' BENGALURU HOUSE PRICE'!$G1054&lt;=1000000,"Medium",
IF(' BENGALURU HOUSE PRICE'!$G1054&lt;=3000000,"High","Luxury")))</f>
        <v>Low</v>
      </c>
    </row>
    <row r="1055" spans="1:8" ht="15.75" customHeight="1" x14ac:dyDescent="0.25">
      <c r="A1055" s="19" t="s">
        <v>15</v>
      </c>
      <c r="B1055" s="19">
        <v>1500</v>
      </c>
      <c r="C1055" s="19">
        <v>3</v>
      </c>
      <c r="D1055" s="19">
        <v>1</v>
      </c>
      <c r="E1055" s="23" t="s">
        <v>27</v>
      </c>
      <c r="F1055" s="19" t="str">
        <f t="shared" si="4"/>
        <v>Medium</v>
      </c>
      <c r="G1055" s="19">
        <v>1700000</v>
      </c>
      <c r="H1055" s="19" t="str">
        <f>IF(' BENGALURU HOUSE PRICE'!$G1055&lt;=500000,"Low",
IF(' BENGALURU HOUSE PRICE'!$G1055&lt;=1000000,"Medium",
IF(' BENGALURU HOUSE PRICE'!$G1055&lt;=3000000,"High","Luxury")))</f>
        <v>High</v>
      </c>
    </row>
    <row r="1056" spans="1:8" ht="15.75" customHeight="1" x14ac:dyDescent="0.25">
      <c r="A1056" s="19" t="s">
        <v>115</v>
      </c>
      <c r="B1056" s="19">
        <v>1560</v>
      </c>
      <c r="C1056" s="19">
        <v>3</v>
      </c>
      <c r="D1056" s="19">
        <v>2</v>
      </c>
      <c r="E1056" s="23" t="s">
        <v>27</v>
      </c>
      <c r="F1056" s="19" t="str">
        <f t="shared" si="4"/>
        <v>Medium</v>
      </c>
      <c r="G1056" s="19">
        <v>750000</v>
      </c>
      <c r="H1056" s="19" t="str">
        <f>IF(' BENGALURU HOUSE PRICE'!$G1056&lt;=500000,"Low",
IF(' BENGALURU HOUSE PRICE'!$G1056&lt;=1000000,"Medium",
IF(' BENGALURU HOUSE PRICE'!$G1056&lt;=3000000,"High","Luxury")))</f>
        <v>Medium</v>
      </c>
    </row>
    <row r="1057" spans="1:8" ht="15.75" customHeight="1" x14ac:dyDescent="0.25">
      <c r="A1057" s="19" t="s">
        <v>134</v>
      </c>
      <c r="B1057" s="19">
        <v>1100</v>
      </c>
      <c r="C1057" s="19">
        <v>2</v>
      </c>
      <c r="D1057" s="19">
        <v>2</v>
      </c>
      <c r="E1057" s="23" t="s">
        <v>262</v>
      </c>
      <c r="F1057" s="19" t="str">
        <f t="shared" si="4"/>
        <v>Medium</v>
      </c>
      <c r="G1057" s="19">
        <v>700000</v>
      </c>
      <c r="H1057" s="19" t="str">
        <f>IF(' BENGALURU HOUSE PRICE'!$G1057&lt;=500000,"Low",
IF(' BENGALURU HOUSE PRICE'!$G1057&lt;=1000000,"Medium",
IF(' BENGALURU HOUSE PRICE'!$G1057&lt;=3000000,"High","Luxury")))</f>
        <v>Medium</v>
      </c>
    </row>
    <row r="1058" spans="1:8" ht="15.75" customHeight="1" x14ac:dyDescent="0.25">
      <c r="A1058" s="19" t="s">
        <v>145</v>
      </c>
      <c r="B1058" s="19">
        <v>1260</v>
      </c>
      <c r="C1058" s="19">
        <v>2</v>
      </c>
      <c r="D1058" s="19">
        <v>3</v>
      </c>
      <c r="E1058" s="23" t="s">
        <v>27</v>
      </c>
      <c r="F1058" s="19" t="str">
        <f t="shared" si="4"/>
        <v>Medium</v>
      </c>
      <c r="G1058" s="19">
        <v>403200</v>
      </c>
      <c r="H1058" s="19" t="str">
        <f>IF(' BENGALURU HOUSE PRICE'!$G1058&lt;=500000,"Low",
IF(' BENGALURU HOUSE PRICE'!$G1058&lt;=1000000,"Medium",
IF(' BENGALURU HOUSE PRICE'!$G1058&lt;=3000000,"High","Luxury")))</f>
        <v>Low</v>
      </c>
    </row>
    <row r="1059" spans="1:8" ht="15.75" customHeight="1" x14ac:dyDescent="0.25">
      <c r="A1059" s="19" t="s">
        <v>18</v>
      </c>
      <c r="B1059" s="19">
        <v>1036</v>
      </c>
      <c r="C1059" s="19">
        <v>2</v>
      </c>
      <c r="D1059" s="19">
        <v>1</v>
      </c>
      <c r="E1059" s="23" t="s">
        <v>262</v>
      </c>
      <c r="F1059" s="19" t="str">
        <f t="shared" si="4"/>
        <v>Medium</v>
      </c>
      <c r="G1059" s="19">
        <v>500000</v>
      </c>
      <c r="H1059" s="19" t="str">
        <f>IF(' BENGALURU HOUSE PRICE'!$G1059&lt;=500000,"Low",
IF(' BENGALURU HOUSE PRICE'!$G1059&lt;=1000000,"Medium",
IF(' BENGALURU HOUSE PRICE'!$G1059&lt;=3000000,"High","Luxury")))</f>
        <v>Low</v>
      </c>
    </row>
    <row r="1060" spans="1:8" ht="15.75" customHeight="1" x14ac:dyDescent="0.25">
      <c r="A1060" s="19" t="s">
        <v>35</v>
      </c>
      <c r="B1060" s="19">
        <v>1662</v>
      </c>
      <c r="C1060" s="19">
        <v>3</v>
      </c>
      <c r="D1060" s="19">
        <v>3</v>
      </c>
      <c r="E1060" s="23" t="s">
        <v>27</v>
      </c>
      <c r="F1060" s="19" t="str">
        <f t="shared" si="4"/>
        <v>Medium</v>
      </c>
      <c r="G1060" s="19">
        <v>851000</v>
      </c>
      <c r="H1060" s="19" t="str">
        <f>IF(' BENGALURU HOUSE PRICE'!$G1060&lt;=500000,"Low",
IF(' BENGALURU HOUSE PRICE'!$G1060&lt;=1000000,"Medium",
IF(' BENGALURU HOUSE PRICE'!$G1060&lt;=3000000,"High","Luxury")))</f>
        <v>Medium</v>
      </c>
    </row>
    <row r="1061" spans="1:8" ht="15.75" customHeight="1" x14ac:dyDescent="0.25">
      <c r="A1061" s="19" t="s">
        <v>248</v>
      </c>
      <c r="B1061" s="19">
        <v>1464</v>
      </c>
      <c r="C1061" s="19">
        <v>2</v>
      </c>
      <c r="D1061" s="19">
        <v>3</v>
      </c>
      <c r="E1061" s="23" t="s">
        <v>27</v>
      </c>
      <c r="F1061" s="19" t="str">
        <f t="shared" si="4"/>
        <v>Medium</v>
      </c>
      <c r="G1061" s="19">
        <v>1050000</v>
      </c>
      <c r="H1061" s="19" t="str">
        <f>IF(' BENGALURU HOUSE PRICE'!$G1061&lt;=500000,"Low",
IF(' BENGALURU HOUSE PRICE'!$G1061&lt;=1000000,"Medium",
IF(' BENGALURU HOUSE PRICE'!$G1061&lt;=3000000,"High","Luxury")))</f>
        <v>High</v>
      </c>
    </row>
    <row r="1062" spans="1:8" ht="15.75" customHeight="1" x14ac:dyDescent="0.25">
      <c r="A1062" s="19" t="s">
        <v>26</v>
      </c>
      <c r="B1062" s="19">
        <v>1234</v>
      </c>
      <c r="C1062" s="19">
        <v>2</v>
      </c>
      <c r="D1062" s="19">
        <v>2</v>
      </c>
      <c r="E1062" s="23" t="s">
        <v>262</v>
      </c>
      <c r="F1062" s="19" t="str">
        <f t="shared" si="4"/>
        <v>Medium</v>
      </c>
      <c r="G1062" s="19">
        <v>800000</v>
      </c>
      <c r="H1062" s="19" t="str">
        <f>IF(' BENGALURU HOUSE PRICE'!$G1062&lt;=500000,"Low",
IF(' BENGALURU HOUSE PRICE'!$G1062&lt;=1000000,"Medium",
IF(' BENGALURU HOUSE PRICE'!$G1062&lt;=3000000,"High","Luxury")))</f>
        <v>Medium</v>
      </c>
    </row>
    <row r="1063" spans="1:8" ht="15.75" customHeight="1" x14ac:dyDescent="0.25">
      <c r="A1063" s="19" t="s">
        <v>22</v>
      </c>
      <c r="B1063" s="19">
        <v>1403</v>
      </c>
      <c r="C1063" s="19">
        <v>3</v>
      </c>
      <c r="D1063" s="19">
        <v>1</v>
      </c>
      <c r="E1063" s="23" t="s">
        <v>27</v>
      </c>
      <c r="F1063" s="19" t="str">
        <f t="shared" si="4"/>
        <v>Medium</v>
      </c>
      <c r="G1063" s="19">
        <v>550000</v>
      </c>
      <c r="H1063" s="19" t="str">
        <f>IF(' BENGALURU HOUSE PRICE'!$G1063&lt;=500000,"Low",
IF(' BENGALURU HOUSE PRICE'!$G1063&lt;=1000000,"Medium",
IF(' BENGALURU HOUSE PRICE'!$G1063&lt;=3000000,"High","Luxury")))</f>
        <v>Medium</v>
      </c>
    </row>
    <row r="1064" spans="1:8" ht="15.75" customHeight="1" x14ac:dyDescent="0.25">
      <c r="A1064" s="19" t="s">
        <v>457</v>
      </c>
      <c r="B1064" s="19">
        <v>915</v>
      </c>
      <c r="C1064" s="19">
        <v>4</v>
      </c>
      <c r="D1064" s="19">
        <v>1</v>
      </c>
      <c r="E1064" s="23" t="s">
        <v>264</v>
      </c>
      <c r="F1064" s="19" t="str">
        <f t="shared" si="4"/>
        <v>Small</v>
      </c>
      <c r="G1064" s="19">
        <v>549000</v>
      </c>
      <c r="H1064" s="19" t="str">
        <f>IF(' BENGALURU HOUSE PRICE'!$G1064&lt;=500000,"Low",
IF(' BENGALURU HOUSE PRICE'!$G1064&lt;=1000000,"Medium",
IF(' BENGALURU HOUSE PRICE'!$G1064&lt;=3000000,"High","Luxury")))</f>
        <v>Medium</v>
      </c>
    </row>
    <row r="1065" spans="1:8" ht="15.75" customHeight="1" x14ac:dyDescent="0.25">
      <c r="A1065" s="19" t="s">
        <v>354</v>
      </c>
      <c r="B1065" s="19">
        <v>3000</v>
      </c>
      <c r="C1065" s="19">
        <v>8</v>
      </c>
      <c r="D1065" s="19">
        <v>3</v>
      </c>
      <c r="E1065" s="23" t="s">
        <v>266</v>
      </c>
      <c r="F1065" s="19" t="str">
        <f t="shared" si="4"/>
        <v>Large</v>
      </c>
      <c r="G1065" s="19">
        <v>4510000</v>
      </c>
      <c r="H1065" s="19" t="str">
        <f>IF(' BENGALURU HOUSE PRICE'!$G1065&lt;=500000,"Low",
IF(' BENGALURU HOUSE PRICE'!$G1065&lt;=1000000,"Medium",
IF(' BENGALURU HOUSE PRICE'!$G1065&lt;=3000000,"High","Luxury")))</f>
        <v>Luxury</v>
      </c>
    </row>
    <row r="1066" spans="1:8" ht="15.75" customHeight="1" x14ac:dyDescent="0.25">
      <c r="A1066" s="19" t="s">
        <v>212</v>
      </c>
      <c r="B1066" s="19">
        <v>1150</v>
      </c>
      <c r="C1066" s="19">
        <v>2</v>
      </c>
      <c r="D1066" s="19">
        <v>2</v>
      </c>
      <c r="E1066" s="23" t="s">
        <v>27</v>
      </c>
      <c r="F1066" s="19" t="str">
        <f t="shared" si="4"/>
        <v>Medium</v>
      </c>
      <c r="G1066" s="19">
        <v>429000</v>
      </c>
      <c r="H1066" s="19" t="str">
        <f>IF(' BENGALURU HOUSE PRICE'!$G1066&lt;=500000,"Low",
IF(' BENGALURU HOUSE PRICE'!$G1066&lt;=1000000,"Medium",
IF(' BENGALURU HOUSE PRICE'!$G1066&lt;=3000000,"High","Luxury")))</f>
        <v>Low</v>
      </c>
    </row>
    <row r="1067" spans="1:8" ht="15.75" customHeight="1" x14ac:dyDescent="0.25">
      <c r="A1067" s="19" t="s">
        <v>18</v>
      </c>
      <c r="B1067" s="19">
        <v>3900</v>
      </c>
      <c r="C1067" s="19">
        <v>4</v>
      </c>
      <c r="D1067" s="19">
        <v>2</v>
      </c>
      <c r="E1067" s="23" t="s">
        <v>264</v>
      </c>
      <c r="F1067" s="19" t="str">
        <f t="shared" si="4"/>
        <v>Large</v>
      </c>
      <c r="G1067" s="19">
        <v>4100000</v>
      </c>
      <c r="H1067" s="19" t="str">
        <f>IF(' BENGALURU HOUSE PRICE'!$G1067&lt;=500000,"Low",
IF(' BENGALURU HOUSE PRICE'!$G1067&lt;=1000000,"Medium",
IF(' BENGALURU HOUSE PRICE'!$G1067&lt;=3000000,"High","Luxury")))</f>
        <v>Luxury</v>
      </c>
    </row>
    <row r="1068" spans="1:8" ht="15.75" customHeight="1" x14ac:dyDescent="0.25">
      <c r="A1068" s="19" t="s">
        <v>250</v>
      </c>
      <c r="B1068" s="19">
        <v>850</v>
      </c>
      <c r="C1068" s="19">
        <v>4</v>
      </c>
      <c r="D1068" s="19">
        <v>2</v>
      </c>
      <c r="E1068" s="23" t="s">
        <v>292</v>
      </c>
      <c r="F1068" s="19" t="str">
        <f t="shared" si="4"/>
        <v>Small</v>
      </c>
      <c r="G1068" s="19">
        <v>900000</v>
      </c>
      <c r="H1068" s="19" t="str">
        <f>IF(' BENGALURU HOUSE PRICE'!$G1068&lt;=500000,"Low",
IF(' BENGALURU HOUSE PRICE'!$G1068&lt;=1000000,"Medium",
IF(' BENGALURU HOUSE PRICE'!$G1068&lt;=3000000,"High","Luxury")))</f>
        <v>Medium</v>
      </c>
    </row>
    <row r="1069" spans="1:8" ht="15.75" customHeight="1" x14ac:dyDescent="0.25">
      <c r="A1069" s="19" t="s">
        <v>143</v>
      </c>
      <c r="B1069" s="19">
        <v>929</v>
      </c>
      <c r="C1069" s="19">
        <v>2</v>
      </c>
      <c r="D1069" s="19">
        <v>1</v>
      </c>
      <c r="E1069" s="23" t="s">
        <v>262</v>
      </c>
      <c r="F1069" s="19" t="str">
        <f t="shared" si="4"/>
        <v>Small</v>
      </c>
      <c r="G1069" s="19">
        <v>460000</v>
      </c>
      <c r="H1069" s="19" t="str">
        <f>IF(' BENGALURU HOUSE PRICE'!$G1069&lt;=500000,"Low",
IF(' BENGALURU HOUSE PRICE'!$G1069&lt;=1000000,"Medium",
IF(' BENGALURU HOUSE PRICE'!$G1069&lt;=3000000,"High","Luxury")))</f>
        <v>Low</v>
      </c>
    </row>
    <row r="1070" spans="1:8" ht="15.75" customHeight="1" x14ac:dyDescent="0.25">
      <c r="A1070" s="19" t="s">
        <v>354</v>
      </c>
      <c r="B1070" s="19">
        <v>2400</v>
      </c>
      <c r="C1070" s="19">
        <v>8</v>
      </c>
      <c r="D1070" s="19">
        <v>3</v>
      </c>
      <c r="E1070" s="23" t="s">
        <v>266</v>
      </c>
      <c r="F1070" s="19" t="str">
        <f t="shared" si="4"/>
        <v>Large</v>
      </c>
      <c r="G1070" s="19">
        <v>4500000</v>
      </c>
      <c r="H1070" s="19" t="str">
        <f>IF(' BENGALURU HOUSE PRICE'!$G1070&lt;=500000,"Low",
IF(' BENGALURU HOUSE PRICE'!$G1070&lt;=1000000,"Medium",
IF(' BENGALURU HOUSE PRICE'!$G1070&lt;=3000000,"High","Luxury")))</f>
        <v>Luxury</v>
      </c>
    </row>
    <row r="1071" spans="1:8" ht="15.75" customHeight="1" x14ac:dyDescent="0.25">
      <c r="A1071" s="19" t="s">
        <v>229</v>
      </c>
      <c r="B1071" s="19">
        <v>1350</v>
      </c>
      <c r="C1071" s="19">
        <v>2</v>
      </c>
      <c r="D1071" s="19">
        <v>1</v>
      </c>
      <c r="E1071" s="23" t="s">
        <v>27</v>
      </c>
      <c r="F1071" s="19" t="str">
        <f t="shared" si="4"/>
        <v>Medium</v>
      </c>
      <c r="G1071" s="19">
        <v>750000</v>
      </c>
      <c r="H1071" s="19" t="str">
        <f>IF(' BENGALURU HOUSE PRICE'!$G1071&lt;=500000,"Low",
IF(' BENGALURU HOUSE PRICE'!$G1071&lt;=1000000,"Medium",
IF(' BENGALURU HOUSE PRICE'!$G1071&lt;=3000000,"High","Luxury")))</f>
        <v>Medium</v>
      </c>
    </row>
    <row r="1072" spans="1:8" ht="15.75" customHeight="1" x14ac:dyDescent="0.25">
      <c r="A1072" s="19" t="s">
        <v>243</v>
      </c>
      <c r="B1072" s="19">
        <v>1135</v>
      </c>
      <c r="C1072" s="19">
        <v>2</v>
      </c>
      <c r="D1072" s="19">
        <v>1</v>
      </c>
      <c r="E1072" s="23" t="s">
        <v>262</v>
      </c>
      <c r="F1072" s="19" t="str">
        <f t="shared" si="4"/>
        <v>Medium</v>
      </c>
      <c r="G1072" s="19">
        <v>397300</v>
      </c>
      <c r="H1072" s="19" t="str">
        <f>IF(' BENGALURU HOUSE PRICE'!$G1072&lt;=500000,"Low",
IF(' BENGALURU HOUSE PRICE'!$G1072&lt;=1000000,"Medium",
IF(' BENGALURU HOUSE PRICE'!$G1072&lt;=3000000,"High","Luxury")))</f>
        <v>Low</v>
      </c>
    </row>
    <row r="1073" spans="1:8" ht="15.75" customHeight="1" x14ac:dyDescent="0.25">
      <c r="A1073" s="19" t="s">
        <v>458</v>
      </c>
      <c r="B1073" s="19">
        <v>1405</v>
      </c>
      <c r="C1073" s="19">
        <v>2</v>
      </c>
      <c r="D1073" s="19">
        <v>2</v>
      </c>
      <c r="E1073" s="23" t="s">
        <v>262</v>
      </c>
      <c r="F1073" s="19" t="str">
        <f t="shared" si="4"/>
        <v>Medium</v>
      </c>
      <c r="G1073" s="19">
        <v>700000</v>
      </c>
      <c r="H1073" s="19" t="str">
        <f>IF(' BENGALURU HOUSE PRICE'!$G1073&lt;=500000,"Low",
IF(' BENGALURU HOUSE PRICE'!$G1073&lt;=1000000,"Medium",
IF(' BENGALURU HOUSE PRICE'!$G1073&lt;=3000000,"High","Luxury")))</f>
        <v>Medium</v>
      </c>
    </row>
    <row r="1074" spans="1:8" ht="15.75" customHeight="1" x14ac:dyDescent="0.25">
      <c r="A1074" s="19" t="s">
        <v>25</v>
      </c>
      <c r="B1074" s="19">
        <v>1200</v>
      </c>
      <c r="C1074" s="19">
        <v>2</v>
      </c>
      <c r="D1074" s="19">
        <v>1</v>
      </c>
      <c r="E1074" s="23" t="s">
        <v>262</v>
      </c>
      <c r="F1074" s="19" t="str">
        <f t="shared" si="4"/>
        <v>Medium</v>
      </c>
      <c r="G1074" s="19">
        <v>458400</v>
      </c>
      <c r="H1074" s="19" t="str">
        <f>IF(' BENGALURU HOUSE PRICE'!$G1074&lt;=500000,"Low",
IF(' BENGALURU HOUSE PRICE'!$G1074&lt;=1000000,"Medium",
IF(' BENGALURU HOUSE PRICE'!$G1074&lt;=3000000,"High","Luxury")))</f>
        <v>Low</v>
      </c>
    </row>
    <row r="1075" spans="1:8" ht="15.75" customHeight="1" x14ac:dyDescent="0.25">
      <c r="A1075" s="19" t="s">
        <v>17</v>
      </c>
      <c r="B1075" s="19">
        <v>2805</v>
      </c>
      <c r="C1075" s="19">
        <v>4</v>
      </c>
      <c r="D1075" s="19">
        <v>3</v>
      </c>
      <c r="E1075" s="23" t="s">
        <v>264</v>
      </c>
      <c r="F1075" s="19" t="str">
        <f t="shared" si="4"/>
        <v>Large</v>
      </c>
      <c r="G1075" s="19">
        <v>1540000</v>
      </c>
      <c r="H1075" s="19" t="str">
        <f>IF(' BENGALURU HOUSE PRICE'!$G1075&lt;=500000,"Low",
IF(' BENGALURU HOUSE PRICE'!$G1075&lt;=1000000,"Medium",
IF(' BENGALURU HOUSE PRICE'!$G1075&lt;=3000000,"High","Luxury")))</f>
        <v>High</v>
      </c>
    </row>
    <row r="1076" spans="1:8" ht="15.75" customHeight="1" x14ac:dyDescent="0.25">
      <c r="A1076" s="19" t="s">
        <v>250</v>
      </c>
      <c r="B1076" s="19">
        <v>1161</v>
      </c>
      <c r="C1076" s="19">
        <v>2</v>
      </c>
      <c r="D1076" s="19">
        <v>2</v>
      </c>
      <c r="E1076" s="23" t="s">
        <v>262</v>
      </c>
      <c r="F1076" s="19" t="str">
        <f t="shared" si="4"/>
        <v>Medium</v>
      </c>
      <c r="G1076" s="19">
        <v>640800</v>
      </c>
      <c r="H1076" s="19" t="str">
        <f>IF(' BENGALURU HOUSE PRICE'!$G1076&lt;=500000,"Low",
IF(' BENGALURU HOUSE PRICE'!$G1076&lt;=1000000,"Medium",
IF(' BENGALURU HOUSE PRICE'!$G1076&lt;=3000000,"High","Luxury")))</f>
        <v>Medium</v>
      </c>
    </row>
    <row r="1077" spans="1:8" ht="15.75" customHeight="1" x14ac:dyDescent="0.25">
      <c r="A1077" s="19" t="s">
        <v>19</v>
      </c>
      <c r="B1077" s="19">
        <v>1290</v>
      </c>
      <c r="C1077" s="19">
        <v>2</v>
      </c>
      <c r="D1077" s="19">
        <v>3</v>
      </c>
      <c r="E1077" s="23" t="s">
        <v>262</v>
      </c>
      <c r="F1077" s="19" t="str">
        <f t="shared" si="4"/>
        <v>Medium</v>
      </c>
      <c r="G1077" s="19">
        <v>740000</v>
      </c>
      <c r="H1077" s="19" t="str">
        <f>IF(' BENGALURU HOUSE PRICE'!$G1077&lt;=500000,"Low",
IF(' BENGALURU HOUSE PRICE'!$G1077&lt;=1000000,"Medium",
IF(' BENGALURU HOUSE PRICE'!$G1077&lt;=3000000,"High","Luxury")))</f>
        <v>Medium</v>
      </c>
    </row>
    <row r="1078" spans="1:8" ht="15.75" customHeight="1" x14ac:dyDescent="0.25">
      <c r="A1078" s="19" t="s">
        <v>250</v>
      </c>
      <c r="B1078" s="19">
        <v>2557</v>
      </c>
      <c r="C1078" s="19">
        <v>3</v>
      </c>
      <c r="D1078" s="19">
        <v>2</v>
      </c>
      <c r="E1078" s="23" t="s">
        <v>27</v>
      </c>
      <c r="F1078" s="19" t="str">
        <f t="shared" si="4"/>
        <v>Large</v>
      </c>
      <c r="G1078" s="19">
        <v>1410000</v>
      </c>
      <c r="H1078" s="19" t="str">
        <f>IF(' BENGALURU HOUSE PRICE'!$G1078&lt;=500000,"Low",
IF(' BENGALURU HOUSE PRICE'!$G1078&lt;=1000000,"Medium",
IF(' BENGALURU HOUSE PRICE'!$G1078&lt;=3000000,"High","Luxury")))</f>
        <v>High</v>
      </c>
    </row>
    <row r="1079" spans="1:8" ht="15.75" customHeight="1" x14ac:dyDescent="0.25">
      <c r="A1079" s="19" t="s">
        <v>29</v>
      </c>
      <c r="B1079" s="19">
        <v>1480</v>
      </c>
      <c r="C1079" s="19">
        <v>3</v>
      </c>
      <c r="D1079" s="19">
        <v>2</v>
      </c>
      <c r="E1079" s="23" t="s">
        <v>27</v>
      </c>
      <c r="F1079" s="19" t="str">
        <f t="shared" si="4"/>
        <v>Medium</v>
      </c>
      <c r="G1079" s="19">
        <v>900000</v>
      </c>
      <c r="H1079" s="19" t="str">
        <f>IF(' BENGALURU HOUSE PRICE'!$G1079&lt;=500000,"Low",
IF(' BENGALURU HOUSE PRICE'!$G1079&lt;=1000000,"Medium",
IF(' BENGALURU HOUSE PRICE'!$G1079&lt;=3000000,"High","Luxury")))</f>
        <v>Medium</v>
      </c>
    </row>
    <row r="1080" spans="1:8" ht="15.75" customHeight="1" x14ac:dyDescent="0.25">
      <c r="A1080" s="19" t="s">
        <v>454</v>
      </c>
      <c r="B1080" s="19">
        <v>3300</v>
      </c>
      <c r="C1080" s="19">
        <v>14</v>
      </c>
      <c r="D1080" s="19">
        <v>2</v>
      </c>
      <c r="E1080" s="23" t="s">
        <v>377</v>
      </c>
      <c r="F1080" s="19" t="str">
        <f t="shared" si="4"/>
        <v>Large</v>
      </c>
      <c r="G1080" s="19">
        <v>5000000</v>
      </c>
      <c r="H1080" s="19" t="str">
        <f>IF(' BENGALURU HOUSE PRICE'!$G1080&lt;=500000,"Low",
IF(' BENGALURU HOUSE PRICE'!$G1080&lt;=1000000,"Medium",
IF(' BENGALURU HOUSE PRICE'!$G1080&lt;=3000000,"High","Luxury")))</f>
        <v>Luxury</v>
      </c>
    </row>
    <row r="1081" spans="1:8" ht="15.75" customHeight="1" x14ac:dyDescent="0.25">
      <c r="A1081" s="19" t="s">
        <v>190</v>
      </c>
      <c r="B1081" s="19">
        <v>1350</v>
      </c>
      <c r="C1081" s="19">
        <v>3</v>
      </c>
      <c r="D1081" s="19">
        <v>0</v>
      </c>
      <c r="E1081" s="23" t="s">
        <v>27</v>
      </c>
      <c r="F1081" s="19" t="str">
        <f t="shared" si="4"/>
        <v>Medium</v>
      </c>
      <c r="G1081" s="19">
        <v>545400</v>
      </c>
      <c r="H1081" s="19" t="str">
        <f>IF(' BENGALURU HOUSE PRICE'!$G1081&lt;=500000,"Low",
IF(' BENGALURU HOUSE PRICE'!$G1081&lt;=1000000,"Medium",
IF(' BENGALURU HOUSE PRICE'!$G1081&lt;=3000000,"High","Luxury")))</f>
        <v>Medium</v>
      </c>
    </row>
    <row r="1082" spans="1:8" ht="15.75" customHeight="1" x14ac:dyDescent="0.25">
      <c r="A1082" s="19" t="s">
        <v>136</v>
      </c>
      <c r="B1082" s="19">
        <v>1580</v>
      </c>
      <c r="C1082" s="19">
        <v>2</v>
      </c>
      <c r="D1082" s="19">
        <v>2</v>
      </c>
      <c r="E1082" s="23" t="s">
        <v>27</v>
      </c>
      <c r="F1082" s="19" t="str">
        <f t="shared" si="4"/>
        <v>Medium</v>
      </c>
      <c r="G1082" s="19">
        <v>650000</v>
      </c>
      <c r="H1082" s="19" t="str">
        <f>IF(' BENGALURU HOUSE PRICE'!$G1082&lt;=500000,"Low",
IF(' BENGALURU HOUSE PRICE'!$G1082&lt;=1000000,"Medium",
IF(' BENGALURU HOUSE PRICE'!$G1082&lt;=3000000,"High","Luxury")))</f>
        <v>Medium</v>
      </c>
    </row>
    <row r="1083" spans="1:8" ht="15.75" customHeight="1" x14ac:dyDescent="0.25">
      <c r="A1083" s="19" t="s">
        <v>48</v>
      </c>
      <c r="B1083" s="19">
        <v>1470</v>
      </c>
      <c r="C1083" s="19">
        <v>2</v>
      </c>
      <c r="D1083" s="19">
        <v>1</v>
      </c>
      <c r="E1083" s="23" t="s">
        <v>27</v>
      </c>
      <c r="F1083" s="19" t="str">
        <f t="shared" si="4"/>
        <v>Medium</v>
      </c>
      <c r="G1083" s="19">
        <v>886400</v>
      </c>
      <c r="H1083" s="19" t="str">
        <f>IF(' BENGALURU HOUSE PRICE'!$G1083&lt;=500000,"Low",
IF(' BENGALURU HOUSE PRICE'!$G1083&lt;=1000000,"Medium",
IF(' BENGALURU HOUSE PRICE'!$G1083&lt;=3000000,"High","Luxury")))</f>
        <v>Medium</v>
      </c>
    </row>
    <row r="1084" spans="1:8" ht="15.75" customHeight="1" x14ac:dyDescent="0.25">
      <c r="A1084" s="19" t="s">
        <v>459</v>
      </c>
      <c r="B1084" s="19">
        <v>500</v>
      </c>
      <c r="C1084" s="19">
        <v>1</v>
      </c>
      <c r="D1084" s="19">
        <v>1</v>
      </c>
      <c r="E1084" s="23" t="s">
        <v>267</v>
      </c>
      <c r="F1084" s="19" t="str">
        <f t="shared" si="4"/>
        <v>Small</v>
      </c>
      <c r="G1084" s="19">
        <v>140000</v>
      </c>
      <c r="H1084" s="19" t="str">
        <f>IF(' BENGALURU HOUSE PRICE'!$G1084&lt;=500000,"Low",
IF(' BENGALURU HOUSE PRICE'!$G1084&lt;=1000000,"Medium",
IF(' BENGALURU HOUSE PRICE'!$G1084&lt;=3000000,"High","Luxury")))</f>
        <v>Low</v>
      </c>
    </row>
    <row r="1085" spans="1:8" ht="15.75" customHeight="1" x14ac:dyDescent="0.25">
      <c r="A1085" s="19" t="s">
        <v>22</v>
      </c>
      <c r="B1085" s="19">
        <v>1346</v>
      </c>
      <c r="C1085" s="19">
        <v>2</v>
      </c>
      <c r="D1085" s="19">
        <v>1</v>
      </c>
      <c r="E1085" s="23" t="s">
        <v>262</v>
      </c>
      <c r="F1085" s="19" t="str">
        <f t="shared" si="4"/>
        <v>Medium</v>
      </c>
      <c r="G1085" s="19">
        <v>619200</v>
      </c>
      <c r="H1085" s="19" t="str">
        <f>IF(' BENGALURU HOUSE PRICE'!$G1085&lt;=500000,"Low",
IF(' BENGALURU HOUSE PRICE'!$G1085&lt;=1000000,"Medium",
IF(' BENGALURU HOUSE PRICE'!$G1085&lt;=3000000,"High","Luxury")))</f>
        <v>Medium</v>
      </c>
    </row>
    <row r="1086" spans="1:8" ht="15.75" customHeight="1" x14ac:dyDescent="0.25">
      <c r="A1086" s="19" t="s">
        <v>72</v>
      </c>
      <c r="B1086" s="19">
        <v>1600</v>
      </c>
      <c r="C1086" s="19">
        <v>3</v>
      </c>
      <c r="D1086" s="19">
        <v>3</v>
      </c>
      <c r="E1086" s="23" t="s">
        <v>27</v>
      </c>
      <c r="F1086" s="19" t="str">
        <f t="shared" si="4"/>
        <v>Medium</v>
      </c>
      <c r="G1086" s="19">
        <v>900000</v>
      </c>
      <c r="H1086" s="19" t="str">
        <f>IF(' BENGALURU HOUSE PRICE'!$G1086&lt;=500000,"Low",
IF(' BENGALURU HOUSE PRICE'!$G1086&lt;=1000000,"Medium",
IF(' BENGALURU HOUSE PRICE'!$G1086&lt;=3000000,"High","Luxury")))</f>
        <v>Medium</v>
      </c>
    </row>
    <row r="1087" spans="1:8" ht="15.75" customHeight="1" x14ac:dyDescent="0.25">
      <c r="A1087" s="19" t="s">
        <v>436</v>
      </c>
      <c r="B1087" s="19">
        <v>720</v>
      </c>
      <c r="C1087" s="19">
        <v>2</v>
      </c>
      <c r="D1087" s="19">
        <v>1</v>
      </c>
      <c r="E1087" s="23" t="s">
        <v>262</v>
      </c>
      <c r="F1087" s="19" t="str">
        <f t="shared" si="4"/>
        <v>Small</v>
      </c>
      <c r="G1087" s="19">
        <v>1200000</v>
      </c>
      <c r="H1087" s="19" t="str">
        <f>IF(' BENGALURU HOUSE PRICE'!$G1087&lt;=500000,"Low",
IF(' BENGALURU HOUSE PRICE'!$G1087&lt;=1000000,"Medium",
IF(' BENGALURU HOUSE PRICE'!$G1087&lt;=3000000,"High","Luxury")))</f>
        <v>High</v>
      </c>
    </row>
    <row r="1088" spans="1:8" ht="15.75" customHeight="1" x14ac:dyDescent="0.25">
      <c r="A1088" s="19" t="s">
        <v>460</v>
      </c>
      <c r="B1088" s="19">
        <v>1559</v>
      </c>
      <c r="C1088" s="19">
        <v>2</v>
      </c>
      <c r="D1088" s="19">
        <v>2</v>
      </c>
      <c r="E1088" s="23" t="s">
        <v>262</v>
      </c>
      <c r="F1088" s="19" t="str">
        <f t="shared" si="4"/>
        <v>Medium</v>
      </c>
      <c r="G1088" s="19">
        <v>295000</v>
      </c>
      <c r="H1088" s="19" t="str">
        <f>IF(' BENGALURU HOUSE PRICE'!$G1088&lt;=500000,"Low",
IF(' BENGALURU HOUSE PRICE'!$G1088&lt;=1000000,"Medium",
IF(' BENGALURU HOUSE PRICE'!$G1088&lt;=3000000,"High","Luxury")))</f>
        <v>Low</v>
      </c>
    </row>
    <row r="1089" spans="1:8" ht="15.75" customHeight="1" x14ac:dyDescent="0.25">
      <c r="A1089" s="19" t="s">
        <v>461</v>
      </c>
      <c r="B1089" s="19">
        <v>1200</v>
      </c>
      <c r="C1089" s="19">
        <v>4</v>
      </c>
      <c r="D1089" s="19">
        <v>0</v>
      </c>
      <c r="E1089" s="23" t="s">
        <v>264</v>
      </c>
      <c r="F1089" s="19" t="str">
        <f t="shared" si="4"/>
        <v>Medium</v>
      </c>
      <c r="G1089" s="19">
        <v>1350000</v>
      </c>
      <c r="H1089" s="19" t="str">
        <f>IF(' BENGALURU HOUSE PRICE'!$G1089&lt;=500000,"Low",
IF(' BENGALURU HOUSE PRICE'!$G1089&lt;=1000000,"Medium",
IF(' BENGALURU HOUSE PRICE'!$G1089&lt;=3000000,"High","Luxury")))</f>
        <v>High</v>
      </c>
    </row>
    <row r="1090" spans="1:8" ht="15.75" customHeight="1" x14ac:dyDescent="0.25">
      <c r="A1090" s="19" t="s">
        <v>462</v>
      </c>
      <c r="B1090" s="19">
        <v>1200</v>
      </c>
      <c r="C1090" s="19">
        <v>2</v>
      </c>
      <c r="D1090" s="19">
        <v>2</v>
      </c>
      <c r="E1090" s="23" t="s">
        <v>262</v>
      </c>
      <c r="F1090" s="19" t="str">
        <f t="shared" si="4"/>
        <v>Medium</v>
      </c>
      <c r="G1090" s="19">
        <v>350000</v>
      </c>
      <c r="H1090" s="19" t="str">
        <f>IF(' BENGALURU HOUSE PRICE'!$G1090&lt;=500000,"Low",
IF(' BENGALURU HOUSE PRICE'!$G1090&lt;=1000000,"Medium",
IF(' BENGALURU HOUSE PRICE'!$G1090&lt;=3000000,"High","Luxury")))</f>
        <v>Low</v>
      </c>
    </row>
    <row r="1091" spans="1:8" ht="15.75" customHeight="1" x14ac:dyDescent="0.25">
      <c r="A1091" s="19" t="s">
        <v>76</v>
      </c>
      <c r="B1091" s="19">
        <v>1340</v>
      </c>
      <c r="C1091" s="19">
        <v>2</v>
      </c>
      <c r="D1091" s="19">
        <v>2</v>
      </c>
      <c r="E1091" s="23" t="s">
        <v>27</v>
      </c>
      <c r="F1091" s="19" t="str">
        <f t="shared" si="4"/>
        <v>Medium</v>
      </c>
      <c r="G1091" s="19">
        <v>483300</v>
      </c>
      <c r="H1091" s="19" t="str">
        <f>IF(' BENGALURU HOUSE PRICE'!$G1091&lt;=500000,"Low",
IF(' BENGALURU HOUSE PRICE'!$G1091&lt;=1000000,"Medium",
IF(' BENGALURU HOUSE PRICE'!$G1091&lt;=3000000,"High","Luxury")))</f>
        <v>Low</v>
      </c>
    </row>
    <row r="1092" spans="1:8" ht="15.75" customHeight="1" x14ac:dyDescent="0.25">
      <c r="A1092" s="19" t="s">
        <v>86</v>
      </c>
      <c r="B1092" s="19">
        <v>6136</v>
      </c>
      <c r="C1092" s="19">
        <v>4</v>
      </c>
      <c r="D1092" s="19">
        <v>2</v>
      </c>
      <c r="E1092" s="23" t="s">
        <v>264</v>
      </c>
      <c r="F1092" s="19" t="str">
        <f t="shared" si="4"/>
        <v>Large</v>
      </c>
      <c r="G1092" s="19">
        <v>5600000</v>
      </c>
      <c r="H1092" s="19" t="str">
        <f>IF(' BENGALURU HOUSE PRICE'!$G1092&lt;=500000,"Low",
IF(' BENGALURU HOUSE PRICE'!$G1092&lt;=1000000,"Medium",
IF(' BENGALURU HOUSE PRICE'!$G1092&lt;=3000000,"High","Luxury")))</f>
        <v>Luxury</v>
      </c>
    </row>
    <row r="1093" spans="1:8" ht="15.75" customHeight="1" x14ac:dyDescent="0.25">
      <c r="A1093" s="19" t="s">
        <v>133</v>
      </c>
      <c r="B1093" s="19">
        <v>918</v>
      </c>
      <c r="C1093" s="19">
        <v>2</v>
      </c>
      <c r="D1093" s="19">
        <v>2</v>
      </c>
      <c r="E1093" s="23" t="s">
        <v>262</v>
      </c>
      <c r="F1093" s="19" t="str">
        <f t="shared" si="4"/>
        <v>Small</v>
      </c>
      <c r="G1093" s="19">
        <v>480000</v>
      </c>
      <c r="H1093" s="19" t="str">
        <f>IF(' BENGALURU HOUSE PRICE'!$G1093&lt;=500000,"Low",
IF(' BENGALURU HOUSE PRICE'!$G1093&lt;=1000000,"Medium",
IF(' BENGALURU HOUSE PRICE'!$G1093&lt;=3000000,"High","Luxury")))</f>
        <v>Low</v>
      </c>
    </row>
    <row r="1094" spans="1:8" ht="15.75" customHeight="1" x14ac:dyDescent="0.25">
      <c r="A1094" s="19" t="s">
        <v>217</v>
      </c>
      <c r="B1094" s="19">
        <v>1500</v>
      </c>
      <c r="C1094" s="19">
        <v>3</v>
      </c>
      <c r="D1094" s="19">
        <v>2</v>
      </c>
      <c r="E1094" s="23" t="s">
        <v>27</v>
      </c>
      <c r="F1094" s="19" t="str">
        <f t="shared" si="4"/>
        <v>Medium</v>
      </c>
      <c r="G1094" s="19">
        <v>1150000</v>
      </c>
      <c r="H1094" s="19" t="str">
        <f>IF(' BENGALURU HOUSE PRICE'!$G1094&lt;=500000,"Low",
IF(' BENGALURU HOUSE PRICE'!$G1094&lt;=1000000,"Medium",
IF(' BENGALURU HOUSE PRICE'!$G1094&lt;=3000000,"High","Luxury")))</f>
        <v>High</v>
      </c>
    </row>
    <row r="1095" spans="1:8" ht="15.75" customHeight="1" x14ac:dyDescent="0.25">
      <c r="A1095" s="19" t="s">
        <v>26</v>
      </c>
      <c r="B1095" s="19">
        <v>1315</v>
      </c>
      <c r="C1095" s="19">
        <v>2</v>
      </c>
      <c r="D1095" s="19">
        <v>2</v>
      </c>
      <c r="E1095" s="23" t="s">
        <v>262</v>
      </c>
      <c r="F1095" s="19" t="str">
        <f t="shared" si="4"/>
        <v>Medium</v>
      </c>
      <c r="G1095" s="19">
        <v>850000</v>
      </c>
      <c r="H1095" s="19" t="str">
        <f>IF(' BENGALURU HOUSE PRICE'!$G1095&lt;=500000,"Low",
IF(' BENGALURU HOUSE PRICE'!$G1095&lt;=1000000,"Medium",
IF(' BENGALURU HOUSE PRICE'!$G1095&lt;=3000000,"High","Luxury")))</f>
        <v>Medium</v>
      </c>
    </row>
    <row r="1096" spans="1:8" ht="15.75" customHeight="1" x14ac:dyDescent="0.25">
      <c r="A1096" s="19" t="s">
        <v>5</v>
      </c>
      <c r="B1096" s="19">
        <v>2400</v>
      </c>
      <c r="C1096" s="19">
        <v>5</v>
      </c>
      <c r="D1096" s="19">
        <v>2</v>
      </c>
      <c r="E1096" s="23" t="s">
        <v>264</v>
      </c>
      <c r="F1096" s="19" t="str">
        <f t="shared" si="4"/>
        <v>Large</v>
      </c>
      <c r="G1096" s="19">
        <v>7750000</v>
      </c>
      <c r="H1096" s="19" t="str">
        <f>IF(' BENGALURU HOUSE PRICE'!$G1096&lt;=500000,"Low",
IF(' BENGALURU HOUSE PRICE'!$G1096&lt;=1000000,"Medium",
IF(' BENGALURU HOUSE PRICE'!$G1096&lt;=3000000,"High","Luxury")))</f>
        <v>Luxury</v>
      </c>
    </row>
    <row r="1097" spans="1:8" ht="15.75" customHeight="1" x14ac:dyDescent="0.25">
      <c r="A1097" s="19" t="s">
        <v>24</v>
      </c>
      <c r="B1097" s="19">
        <v>1390</v>
      </c>
      <c r="C1097" s="19">
        <v>2</v>
      </c>
      <c r="D1097" s="19">
        <v>2</v>
      </c>
      <c r="E1097" s="23" t="s">
        <v>27</v>
      </c>
      <c r="F1097" s="19" t="str">
        <f t="shared" si="4"/>
        <v>Medium</v>
      </c>
      <c r="G1097" s="19">
        <v>625500</v>
      </c>
      <c r="H1097" s="19" t="str">
        <f>IF(' BENGALURU HOUSE PRICE'!$G1097&lt;=500000,"Low",
IF(' BENGALURU HOUSE PRICE'!$G1097&lt;=1000000,"Medium",
IF(' BENGALURU HOUSE PRICE'!$G1097&lt;=3000000,"High","Luxury")))</f>
        <v>Medium</v>
      </c>
    </row>
    <row r="1098" spans="1:8" ht="15.75" customHeight="1" x14ac:dyDescent="0.25">
      <c r="A1098" s="19" t="s">
        <v>24</v>
      </c>
      <c r="B1098" s="19">
        <v>1330</v>
      </c>
      <c r="C1098" s="19">
        <v>2</v>
      </c>
      <c r="D1098" s="19">
        <v>1</v>
      </c>
      <c r="E1098" s="23" t="s">
        <v>27</v>
      </c>
      <c r="F1098" s="19" t="str">
        <f t="shared" si="4"/>
        <v>Medium</v>
      </c>
      <c r="G1098" s="19">
        <v>560000</v>
      </c>
      <c r="H1098" s="19" t="str">
        <f>IF(' BENGALURU HOUSE PRICE'!$G1098&lt;=500000,"Low",
IF(' BENGALURU HOUSE PRICE'!$G1098&lt;=1000000,"Medium",
IF(' BENGALURU HOUSE PRICE'!$G1098&lt;=3000000,"High","Luxury")))</f>
        <v>Medium</v>
      </c>
    </row>
    <row r="1099" spans="1:8" ht="15.75" customHeight="1" x14ac:dyDescent="0.25">
      <c r="A1099" s="19" t="s">
        <v>130</v>
      </c>
      <c r="B1099" s="19">
        <v>3100</v>
      </c>
      <c r="C1099" s="19">
        <v>4</v>
      </c>
      <c r="D1099" s="19">
        <v>2</v>
      </c>
      <c r="E1099" s="23" t="s">
        <v>292</v>
      </c>
      <c r="F1099" s="19" t="str">
        <f t="shared" si="4"/>
        <v>Large</v>
      </c>
      <c r="G1099" s="19">
        <v>2650000</v>
      </c>
      <c r="H1099" s="19" t="str">
        <f>IF(' BENGALURU HOUSE PRICE'!$G1099&lt;=500000,"Low",
IF(' BENGALURU HOUSE PRICE'!$G1099&lt;=1000000,"Medium",
IF(' BENGALURU HOUSE PRICE'!$G1099&lt;=3000000,"High","Luxury")))</f>
        <v>High</v>
      </c>
    </row>
    <row r="1100" spans="1:8" ht="15.75" customHeight="1" x14ac:dyDescent="0.25">
      <c r="A1100" s="19" t="s">
        <v>174</v>
      </c>
      <c r="B1100" s="19">
        <v>1824</v>
      </c>
      <c r="C1100" s="19">
        <v>3</v>
      </c>
      <c r="D1100" s="19">
        <v>3</v>
      </c>
      <c r="E1100" s="23" t="s">
        <v>27</v>
      </c>
      <c r="F1100" s="19" t="str">
        <f t="shared" si="4"/>
        <v>Medium</v>
      </c>
      <c r="G1100" s="19">
        <v>1250000</v>
      </c>
      <c r="H1100" s="19" t="str">
        <f>IF(' BENGALURU HOUSE PRICE'!$G1100&lt;=500000,"Low",
IF(' BENGALURU HOUSE PRICE'!$G1100&lt;=1000000,"Medium",
IF(' BENGALURU HOUSE PRICE'!$G1100&lt;=3000000,"High","Luxury")))</f>
        <v>High</v>
      </c>
    </row>
    <row r="1101" spans="1:8" ht="15.75" customHeight="1" x14ac:dyDescent="0.25">
      <c r="A1101" s="19" t="s">
        <v>15</v>
      </c>
      <c r="B1101" s="19">
        <v>1420</v>
      </c>
      <c r="C1101" s="19">
        <v>2</v>
      </c>
      <c r="D1101" s="19">
        <v>2</v>
      </c>
      <c r="E1101" s="23" t="s">
        <v>27</v>
      </c>
      <c r="F1101" s="19" t="str">
        <f t="shared" si="4"/>
        <v>Medium</v>
      </c>
      <c r="G1101" s="19">
        <v>960000</v>
      </c>
      <c r="H1101" s="19" t="str">
        <f>IF(' BENGALURU HOUSE PRICE'!$G1101&lt;=500000,"Low",
IF(' BENGALURU HOUSE PRICE'!$G1101&lt;=1000000,"Medium",
IF(' BENGALURU HOUSE PRICE'!$G1101&lt;=3000000,"High","Luxury")))</f>
        <v>Medium</v>
      </c>
    </row>
    <row r="1102" spans="1:8" ht="15.75" customHeight="1" x14ac:dyDescent="0.25">
      <c r="A1102" s="19" t="s">
        <v>463</v>
      </c>
      <c r="B1102" s="19">
        <v>750</v>
      </c>
      <c r="C1102" s="19">
        <v>1</v>
      </c>
      <c r="D1102" s="19">
        <v>0</v>
      </c>
      <c r="E1102" s="23" t="s">
        <v>267</v>
      </c>
      <c r="F1102" s="19" t="str">
        <f t="shared" si="4"/>
        <v>Small</v>
      </c>
      <c r="G1102" s="19">
        <v>562500</v>
      </c>
      <c r="H1102" s="19" t="str">
        <f>IF(' BENGALURU HOUSE PRICE'!$G1102&lt;=500000,"Low",
IF(' BENGALURU HOUSE PRICE'!$G1102&lt;=1000000,"Medium",
IF(' BENGALURU HOUSE PRICE'!$G1102&lt;=3000000,"High","Luxury")))</f>
        <v>Medium</v>
      </c>
    </row>
    <row r="1103" spans="1:8" ht="15.75" customHeight="1" x14ac:dyDescent="0.25">
      <c r="A1103" s="19" t="s">
        <v>131</v>
      </c>
      <c r="B1103" s="19">
        <v>1260</v>
      </c>
      <c r="C1103" s="19">
        <v>2</v>
      </c>
      <c r="D1103" s="19">
        <v>1</v>
      </c>
      <c r="E1103" s="23" t="s">
        <v>27</v>
      </c>
      <c r="F1103" s="19" t="str">
        <f t="shared" si="4"/>
        <v>Medium</v>
      </c>
      <c r="G1103" s="19">
        <v>600000</v>
      </c>
      <c r="H1103" s="19" t="str">
        <f>IF(' BENGALURU HOUSE PRICE'!$G1103&lt;=500000,"Low",
IF(' BENGALURU HOUSE PRICE'!$G1103&lt;=1000000,"Medium",
IF(' BENGALURU HOUSE PRICE'!$G1103&lt;=3000000,"High","Luxury")))</f>
        <v>Medium</v>
      </c>
    </row>
    <row r="1104" spans="1:8" ht="15.75" customHeight="1" x14ac:dyDescent="0.25">
      <c r="A1104" s="19" t="s">
        <v>111</v>
      </c>
      <c r="B1104" s="19">
        <v>1561</v>
      </c>
      <c r="C1104" s="19">
        <v>3</v>
      </c>
      <c r="D1104" s="19">
        <v>2</v>
      </c>
      <c r="E1104" s="23" t="s">
        <v>27</v>
      </c>
      <c r="F1104" s="19" t="str">
        <f t="shared" si="4"/>
        <v>Medium</v>
      </c>
      <c r="G1104" s="19">
        <v>950000</v>
      </c>
      <c r="H1104" s="19" t="str">
        <f>IF(' BENGALURU HOUSE PRICE'!$G1104&lt;=500000,"Low",
IF(' BENGALURU HOUSE PRICE'!$G1104&lt;=1000000,"Medium",
IF(' BENGALURU HOUSE PRICE'!$G1104&lt;=3000000,"High","Luxury")))</f>
        <v>Medium</v>
      </c>
    </row>
    <row r="1105" spans="1:8" ht="15.75" customHeight="1" x14ac:dyDescent="0.25">
      <c r="A1105" s="19" t="s">
        <v>337</v>
      </c>
      <c r="B1105" s="19">
        <v>812</v>
      </c>
      <c r="C1105" s="19">
        <v>6</v>
      </c>
      <c r="D1105" s="19">
        <v>3</v>
      </c>
      <c r="E1105" s="23" t="s">
        <v>377</v>
      </c>
      <c r="F1105" s="19" t="str">
        <f t="shared" si="4"/>
        <v>Small</v>
      </c>
      <c r="G1105" s="19">
        <v>1650000</v>
      </c>
      <c r="H1105" s="19" t="str">
        <f>IF(' BENGALURU HOUSE PRICE'!$G1105&lt;=500000,"Low",
IF(' BENGALURU HOUSE PRICE'!$G1105&lt;=1000000,"Medium",
IF(' BENGALURU HOUSE PRICE'!$G1105&lt;=3000000,"High","Luxury")))</f>
        <v>High</v>
      </c>
    </row>
    <row r="1106" spans="1:8" ht="15.75" customHeight="1" x14ac:dyDescent="0.25">
      <c r="A1106" s="19" t="s">
        <v>464</v>
      </c>
      <c r="B1106" s="19">
        <v>1060</v>
      </c>
      <c r="C1106" s="19">
        <v>2</v>
      </c>
      <c r="D1106" s="19">
        <v>2</v>
      </c>
      <c r="E1106" s="23" t="s">
        <v>262</v>
      </c>
      <c r="F1106" s="19" t="str">
        <f t="shared" si="4"/>
        <v>Medium</v>
      </c>
      <c r="G1106" s="19">
        <v>420000</v>
      </c>
      <c r="H1106" s="19" t="str">
        <f>IF(' BENGALURU HOUSE PRICE'!$G1106&lt;=500000,"Low",
IF(' BENGALURU HOUSE PRICE'!$G1106&lt;=1000000,"Medium",
IF(' BENGALURU HOUSE PRICE'!$G1106&lt;=3000000,"High","Luxury")))</f>
        <v>Low</v>
      </c>
    </row>
    <row r="1107" spans="1:8" ht="15.75" customHeight="1" x14ac:dyDescent="0.25">
      <c r="A1107" s="19" t="s">
        <v>113</v>
      </c>
      <c r="B1107" s="19">
        <v>1120</v>
      </c>
      <c r="C1107" s="19">
        <v>8</v>
      </c>
      <c r="D1107" s="19">
        <v>3</v>
      </c>
      <c r="E1107" s="23" t="s">
        <v>271</v>
      </c>
      <c r="F1107" s="19" t="str">
        <f t="shared" si="4"/>
        <v>Medium</v>
      </c>
      <c r="G1107" s="19">
        <v>1450000</v>
      </c>
      <c r="H1107" s="19" t="str">
        <f>IF(' BENGALURU HOUSE PRICE'!$G1107&lt;=500000,"Low",
IF(' BENGALURU HOUSE PRICE'!$G1107&lt;=1000000,"Medium",
IF(' BENGALURU HOUSE PRICE'!$G1107&lt;=3000000,"High","Luxury")))</f>
        <v>High</v>
      </c>
    </row>
    <row r="1108" spans="1:8" ht="15.75" customHeight="1" x14ac:dyDescent="0.25">
      <c r="A1108" s="19" t="s">
        <v>17</v>
      </c>
      <c r="B1108" s="19">
        <v>1225</v>
      </c>
      <c r="C1108" s="19">
        <v>2</v>
      </c>
      <c r="D1108" s="19">
        <v>1</v>
      </c>
      <c r="E1108" s="23" t="s">
        <v>262</v>
      </c>
      <c r="F1108" s="19" t="str">
        <f t="shared" si="4"/>
        <v>Medium</v>
      </c>
      <c r="G1108" s="19">
        <v>673800</v>
      </c>
      <c r="H1108" s="19" t="str">
        <f>IF(' BENGALURU HOUSE PRICE'!$G1108&lt;=500000,"Low",
IF(' BENGALURU HOUSE PRICE'!$G1108&lt;=1000000,"Medium",
IF(' BENGALURU HOUSE PRICE'!$G1108&lt;=3000000,"High","Luxury")))</f>
        <v>Medium</v>
      </c>
    </row>
    <row r="1109" spans="1:8" ht="15.75" customHeight="1" x14ac:dyDescent="0.25">
      <c r="A1109" s="19" t="s">
        <v>23</v>
      </c>
      <c r="B1109" s="19">
        <v>2144</v>
      </c>
      <c r="C1109" s="19">
        <v>3</v>
      </c>
      <c r="D1109" s="19">
        <v>2</v>
      </c>
      <c r="E1109" s="23" t="s">
        <v>27</v>
      </c>
      <c r="F1109" s="19" t="str">
        <f t="shared" si="4"/>
        <v>Large</v>
      </c>
      <c r="G1109" s="19">
        <v>1350000</v>
      </c>
      <c r="H1109" s="19" t="str">
        <f>IF(' BENGALURU HOUSE PRICE'!$G1109&lt;=500000,"Low",
IF(' BENGALURU HOUSE PRICE'!$G1109&lt;=1000000,"Medium",
IF(' BENGALURU HOUSE PRICE'!$G1109&lt;=3000000,"High","Luxury")))</f>
        <v>High</v>
      </c>
    </row>
    <row r="1110" spans="1:8" ht="15.75" customHeight="1" x14ac:dyDescent="0.25">
      <c r="A1110" s="19" t="s">
        <v>148</v>
      </c>
      <c r="B1110" s="19">
        <v>1200</v>
      </c>
      <c r="C1110" s="19">
        <v>6</v>
      </c>
      <c r="D1110" s="19">
        <v>2</v>
      </c>
      <c r="E1110" s="23" t="s">
        <v>290</v>
      </c>
      <c r="F1110" s="19" t="str">
        <f t="shared" si="4"/>
        <v>Medium</v>
      </c>
      <c r="G1110" s="19">
        <v>1400000</v>
      </c>
      <c r="H1110" s="19" t="str">
        <f>IF(' BENGALURU HOUSE PRICE'!$G1110&lt;=500000,"Low",
IF(' BENGALURU HOUSE PRICE'!$G1110&lt;=1000000,"Medium",
IF(' BENGALURU HOUSE PRICE'!$G1110&lt;=3000000,"High","Luxury")))</f>
        <v>High</v>
      </c>
    </row>
    <row r="1111" spans="1:8" ht="15.75" customHeight="1" x14ac:dyDescent="0.25">
      <c r="A1111" s="19" t="s">
        <v>16</v>
      </c>
      <c r="B1111" s="19">
        <v>880</v>
      </c>
      <c r="C1111" s="19">
        <v>2</v>
      </c>
      <c r="D1111" s="19">
        <v>2</v>
      </c>
      <c r="E1111" s="23" t="s">
        <v>262</v>
      </c>
      <c r="F1111" s="19" t="str">
        <f t="shared" si="4"/>
        <v>Small</v>
      </c>
      <c r="G1111" s="19">
        <v>290000</v>
      </c>
      <c r="H1111" s="19" t="str">
        <f>IF(' BENGALURU HOUSE PRICE'!$G1111&lt;=500000,"Low",
IF(' BENGALURU HOUSE PRICE'!$G1111&lt;=1000000,"Medium",
IF(' BENGALURU HOUSE PRICE'!$G1111&lt;=3000000,"High","Luxury")))</f>
        <v>Low</v>
      </c>
    </row>
    <row r="1112" spans="1:8" ht="15.75" customHeight="1" x14ac:dyDescent="0.25">
      <c r="A1112" s="19" t="s">
        <v>113</v>
      </c>
      <c r="B1112" s="19">
        <v>1639</v>
      </c>
      <c r="C1112" s="19">
        <v>3</v>
      </c>
      <c r="D1112" s="19">
        <v>2</v>
      </c>
      <c r="E1112" s="23" t="s">
        <v>27</v>
      </c>
      <c r="F1112" s="19" t="str">
        <f t="shared" si="4"/>
        <v>Medium</v>
      </c>
      <c r="G1112" s="19">
        <v>1100000</v>
      </c>
      <c r="H1112" s="19" t="str">
        <f>IF(' BENGALURU HOUSE PRICE'!$G1112&lt;=500000,"Low",
IF(' BENGALURU HOUSE PRICE'!$G1112&lt;=1000000,"Medium",
IF(' BENGALURU HOUSE PRICE'!$G1112&lt;=3000000,"High","Luxury")))</f>
        <v>High</v>
      </c>
    </row>
    <row r="1113" spans="1:8" ht="15.75" customHeight="1" x14ac:dyDescent="0.25">
      <c r="A1113" s="19" t="s">
        <v>23</v>
      </c>
      <c r="B1113" s="19">
        <v>1240</v>
      </c>
      <c r="C1113" s="19">
        <v>2</v>
      </c>
      <c r="D1113" s="19">
        <v>1</v>
      </c>
      <c r="E1113" s="23" t="s">
        <v>27</v>
      </c>
      <c r="F1113" s="19" t="str">
        <f t="shared" si="4"/>
        <v>Medium</v>
      </c>
      <c r="G1113" s="19">
        <v>620000</v>
      </c>
      <c r="H1113" s="19" t="str">
        <f>IF(' BENGALURU HOUSE PRICE'!$G1113&lt;=500000,"Low",
IF(' BENGALURU HOUSE PRICE'!$G1113&lt;=1000000,"Medium",
IF(' BENGALURU HOUSE PRICE'!$G1113&lt;=3000000,"High","Luxury")))</f>
        <v>Medium</v>
      </c>
    </row>
    <row r="1114" spans="1:8" ht="15.75" customHeight="1" x14ac:dyDescent="0.25">
      <c r="A1114" s="19" t="s">
        <v>19</v>
      </c>
      <c r="B1114" s="19">
        <v>1500</v>
      </c>
      <c r="C1114" s="19">
        <v>2</v>
      </c>
      <c r="D1114" s="19">
        <v>2</v>
      </c>
      <c r="E1114" s="23" t="s">
        <v>262</v>
      </c>
      <c r="F1114" s="19" t="str">
        <f t="shared" si="4"/>
        <v>Medium</v>
      </c>
      <c r="G1114" s="19">
        <v>690000</v>
      </c>
      <c r="H1114" s="19" t="str">
        <f>IF(' BENGALURU HOUSE PRICE'!$G1114&lt;=500000,"Low",
IF(' BENGALURU HOUSE PRICE'!$G1114&lt;=1000000,"Medium",
IF(' BENGALURU HOUSE PRICE'!$G1114&lt;=3000000,"High","Luxury")))</f>
        <v>Medium</v>
      </c>
    </row>
    <row r="1115" spans="1:8" ht="15.75" customHeight="1" x14ac:dyDescent="0.25">
      <c r="A1115" s="19" t="s">
        <v>17</v>
      </c>
      <c r="B1115" s="19">
        <v>1243</v>
      </c>
      <c r="C1115" s="19">
        <v>2</v>
      </c>
      <c r="D1115" s="19">
        <v>1</v>
      </c>
      <c r="E1115" s="23" t="s">
        <v>262</v>
      </c>
      <c r="F1115" s="19" t="str">
        <f t="shared" si="4"/>
        <v>Medium</v>
      </c>
      <c r="G1115" s="19">
        <v>460000</v>
      </c>
      <c r="H1115" s="19" t="str">
        <f>IF(' BENGALURU HOUSE PRICE'!$G1115&lt;=500000,"Low",
IF(' BENGALURU HOUSE PRICE'!$G1115&lt;=1000000,"Medium",
IF(' BENGALURU HOUSE PRICE'!$G1115&lt;=3000000,"High","Luxury")))</f>
        <v>Low</v>
      </c>
    </row>
    <row r="1116" spans="1:8" ht="15.75" customHeight="1" x14ac:dyDescent="0.25">
      <c r="A1116" s="19" t="s">
        <v>20</v>
      </c>
      <c r="B1116" s="19">
        <v>1575</v>
      </c>
      <c r="C1116" s="19">
        <v>3</v>
      </c>
      <c r="D1116" s="19">
        <v>2</v>
      </c>
      <c r="E1116" s="23" t="s">
        <v>27</v>
      </c>
      <c r="F1116" s="19" t="str">
        <f t="shared" si="4"/>
        <v>Medium</v>
      </c>
      <c r="G1116" s="19">
        <v>780000</v>
      </c>
      <c r="H1116" s="19" t="str">
        <f>IF(' BENGALURU HOUSE PRICE'!$G1116&lt;=500000,"Low",
IF(' BENGALURU HOUSE PRICE'!$G1116&lt;=1000000,"Medium",
IF(' BENGALURU HOUSE PRICE'!$G1116&lt;=3000000,"High","Luxury")))</f>
        <v>Medium</v>
      </c>
    </row>
    <row r="1117" spans="1:8" ht="15.75" customHeight="1" x14ac:dyDescent="0.25">
      <c r="A1117" s="19" t="s">
        <v>17</v>
      </c>
      <c r="B1117" s="19">
        <v>1027</v>
      </c>
      <c r="C1117" s="19">
        <v>2</v>
      </c>
      <c r="D1117" s="19">
        <v>2</v>
      </c>
      <c r="E1117" s="23" t="s">
        <v>262</v>
      </c>
      <c r="F1117" s="19" t="str">
        <f t="shared" si="4"/>
        <v>Medium</v>
      </c>
      <c r="G1117" s="19">
        <v>440000</v>
      </c>
      <c r="H1117" s="19" t="str">
        <f>IF(' BENGALURU HOUSE PRICE'!$G1117&lt;=500000,"Low",
IF(' BENGALURU HOUSE PRICE'!$G1117&lt;=1000000,"Medium",
IF(' BENGALURU HOUSE PRICE'!$G1117&lt;=3000000,"High","Luxury")))</f>
        <v>Low</v>
      </c>
    </row>
    <row r="1118" spans="1:8" ht="15.75" customHeight="1" x14ac:dyDescent="0.25">
      <c r="A1118" s="19" t="s">
        <v>141</v>
      </c>
      <c r="B1118" s="19">
        <v>1082</v>
      </c>
      <c r="C1118" s="19">
        <v>2</v>
      </c>
      <c r="D1118" s="19">
        <v>1</v>
      </c>
      <c r="E1118" s="23" t="s">
        <v>27</v>
      </c>
      <c r="F1118" s="19" t="str">
        <f t="shared" si="4"/>
        <v>Medium</v>
      </c>
      <c r="G1118" s="19">
        <v>560000</v>
      </c>
      <c r="H1118" s="19" t="str">
        <f>IF(' BENGALURU HOUSE PRICE'!$G1118&lt;=500000,"Low",
IF(' BENGALURU HOUSE PRICE'!$G1118&lt;=1000000,"Medium",
IF(' BENGALURU HOUSE PRICE'!$G1118&lt;=3000000,"High","Luxury")))</f>
        <v>Medium</v>
      </c>
    </row>
    <row r="1119" spans="1:8" ht="15.75" customHeight="1" x14ac:dyDescent="0.25">
      <c r="A1119" s="19" t="s">
        <v>156</v>
      </c>
      <c r="B1119" s="19">
        <v>1637</v>
      </c>
      <c r="C1119" s="19">
        <v>3</v>
      </c>
      <c r="D1119" s="19">
        <v>3</v>
      </c>
      <c r="E1119" s="23" t="s">
        <v>27</v>
      </c>
      <c r="F1119" s="19" t="str">
        <f t="shared" si="4"/>
        <v>Medium</v>
      </c>
      <c r="G1119" s="19">
        <v>730000</v>
      </c>
      <c r="H1119" s="19" t="str">
        <f>IF(' BENGALURU HOUSE PRICE'!$G1119&lt;=500000,"Low",
IF(' BENGALURU HOUSE PRICE'!$G1119&lt;=1000000,"Medium",
IF(' BENGALURU HOUSE PRICE'!$G1119&lt;=3000000,"High","Luxury")))</f>
        <v>Medium</v>
      </c>
    </row>
    <row r="1120" spans="1:8" ht="15.75" customHeight="1" x14ac:dyDescent="0.25">
      <c r="A1120" s="19" t="s">
        <v>19</v>
      </c>
      <c r="B1120" s="19">
        <v>1665</v>
      </c>
      <c r="C1120" s="19">
        <v>3</v>
      </c>
      <c r="D1120" s="19">
        <v>2</v>
      </c>
      <c r="E1120" s="23" t="s">
        <v>27</v>
      </c>
      <c r="F1120" s="19" t="str">
        <f t="shared" si="4"/>
        <v>Medium</v>
      </c>
      <c r="G1120" s="19">
        <v>865800</v>
      </c>
      <c r="H1120" s="19" t="str">
        <f>IF(' BENGALURU HOUSE PRICE'!$G1120&lt;=500000,"Low",
IF(' BENGALURU HOUSE PRICE'!$G1120&lt;=1000000,"Medium",
IF(' BENGALURU HOUSE PRICE'!$G1120&lt;=3000000,"High","Luxury")))</f>
        <v>Medium</v>
      </c>
    </row>
    <row r="1121" spans="1:8" ht="15.75" customHeight="1" x14ac:dyDescent="0.25">
      <c r="A1121" s="19" t="s">
        <v>16</v>
      </c>
      <c r="B1121" s="19">
        <v>1265</v>
      </c>
      <c r="C1121" s="19">
        <v>2</v>
      </c>
      <c r="D1121" s="19">
        <v>0</v>
      </c>
      <c r="E1121" s="23" t="s">
        <v>262</v>
      </c>
      <c r="F1121" s="19" t="str">
        <f t="shared" si="4"/>
        <v>Medium</v>
      </c>
      <c r="G1121" s="19">
        <v>569300</v>
      </c>
      <c r="H1121" s="19" t="str">
        <f>IF(' BENGALURU HOUSE PRICE'!$G1121&lt;=500000,"Low",
IF(' BENGALURU HOUSE PRICE'!$G1121&lt;=1000000,"Medium",
IF(' BENGALURU HOUSE PRICE'!$G1121&lt;=3000000,"High","Luxury")))</f>
        <v>Medium</v>
      </c>
    </row>
    <row r="1122" spans="1:8" ht="15.75" customHeight="1" x14ac:dyDescent="0.25">
      <c r="A1122" s="19" t="s">
        <v>16</v>
      </c>
      <c r="B1122" s="19">
        <v>1691</v>
      </c>
      <c r="C1122" s="19">
        <v>2</v>
      </c>
      <c r="D1122" s="19">
        <v>2</v>
      </c>
      <c r="E1122" s="23" t="s">
        <v>27</v>
      </c>
      <c r="F1122" s="19" t="str">
        <f t="shared" si="4"/>
        <v>Medium</v>
      </c>
      <c r="G1122" s="19">
        <v>1020000</v>
      </c>
      <c r="H1122" s="19" t="str">
        <f>IF(' BENGALURU HOUSE PRICE'!$G1122&lt;=500000,"Low",
IF(' BENGALURU HOUSE PRICE'!$G1122&lt;=1000000,"Medium",
IF(' BENGALURU HOUSE PRICE'!$G1122&lt;=3000000,"High","Luxury")))</f>
        <v>High</v>
      </c>
    </row>
    <row r="1123" spans="1:8" ht="15.75" customHeight="1" x14ac:dyDescent="0.25">
      <c r="A1123" s="19" t="s">
        <v>23</v>
      </c>
      <c r="B1123" s="19">
        <v>1100</v>
      </c>
      <c r="C1123" s="19">
        <v>2</v>
      </c>
      <c r="D1123" s="19">
        <v>1</v>
      </c>
      <c r="E1123" s="23" t="s">
        <v>262</v>
      </c>
      <c r="F1123" s="19" t="str">
        <f t="shared" si="4"/>
        <v>Medium</v>
      </c>
      <c r="G1123" s="19">
        <v>380000</v>
      </c>
      <c r="H1123" s="19" t="str">
        <f>IF(' BENGALURU HOUSE PRICE'!$G1123&lt;=500000,"Low",
IF(' BENGALURU HOUSE PRICE'!$G1123&lt;=1000000,"Medium",
IF(' BENGALURU HOUSE PRICE'!$G1123&lt;=3000000,"High","Luxury")))</f>
        <v>Low</v>
      </c>
    </row>
    <row r="1124" spans="1:8" ht="15.75" customHeight="1" x14ac:dyDescent="0.25">
      <c r="A1124" s="19" t="s">
        <v>465</v>
      </c>
      <c r="B1124" s="19">
        <v>24</v>
      </c>
      <c r="C1124" s="19">
        <v>2</v>
      </c>
      <c r="D1124" s="19">
        <v>2</v>
      </c>
      <c r="E1124" s="23" t="s">
        <v>292</v>
      </c>
      <c r="F1124" s="19" t="str">
        <f t="shared" si="4"/>
        <v>Small</v>
      </c>
      <c r="G1124" s="19">
        <v>1500000</v>
      </c>
      <c r="H1124" s="19" t="str">
        <f>IF(' BENGALURU HOUSE PRICE'!$G1124&lt;=500000,"Low",
IF(' BENGALURU HOUSE PRICE'!$G1124&lt;=1000000,"Medium",
IF(' BENGALURU HOUSE PRICE'!$G1124&lt;=3000000,"High","Luxury")))</f>
        <v>High</v>
      </c>
    </row>
    <row r="1125" spans="1:8" ht="15.75" customHeight="1" x14ac:dyDescent="0.25">
      <c r="A1125" s="19" t="s">
        <v>103</v>
      </c>
      <c r="B1125" s="19">
        <v>1500</v>
      </c>
      <c r="C1125" s="19">
        <v>3</v>
      </c>
      <c r="D1125" s="19">
        <v>2</v>
      </c>
      <c r="E1125" s="23" t="s">
        <v>27</v>
      </c>
      <c r="F1125" s="19" t="str">
        <f t="shared" si="4"/>
        <v>Medium</v>
      </c>
      <c r="G1125" s="19">
        <v>620000</v>
      </c>
      <c r="H1125" s="19" t="str">
        <f>IF(' BENGALURU HOUSE PRICE'!$G1125&lt;=500000,"Low",
IF(' BENGALURU HOUSE PRICE'!$G1125&lt;=1000000,"Medium",
IF(' BENGALURU HOUSE PRICE'!$G1125&lt;=3000000,"High","Luxury")))</f>
        <v>Medium</v>
      </c>
    </row>
    <row r="1126" spans="1:8" ht="15.75" customHeight="1" x14ac:dyDescent="0.25">
      <c r="A1126" s="19" t="s">
        <v>119</v>
      </c>
      <c r="B1126" s="19">
        <v>3205</v>
      </c>
      <c r="C1126" s="19">
        <v>5</v>
      </c>
      <c r="D1126" s="19">
        <v>1</v>
      </c>
      <c r="E1126" s="23" t="s">
        <v>264</v>
      </c>
      <c r="F1126" s="19" t="str">
        <f t="shared" si="4"/>
        <v>Large</v>
      </c>
      <c r="G1126" s="19">
        <v>3800000</v>
      </c>
      <c r="H1126" s="19" t="str">
        <f>IF(' BENGALURU HOUSE PRICE'!$G1126&lt;=500000,"Low",
IF(' BENGALURU HOUSE PRICE'!$G1126&lt;=1000000,"Medium",
IF(' BENGALURU HOUSE PRICE'!$G1126&lt;=3000000,"High","Luxury")))</f>
        <v>Luxury</v>
      </c>
    </row>
    <row r="1127" spans="1:8" ht="15.75" customHeight="1" x14ac:dyDescent="0.25">
      <c r="A1127" s="19" t="s">
        <v>379</v>
      </c>
      <c r="B1127" s="19">
        <v>1666</v>
      </c>
      <c r="C1127" s="19">
        <v>4</v>
      </c>
      <c r="D1127" s="19">
        <v>1</v>
      </c>
      <c r="E1127" s="23" t="s">
        <v>292</v>
      </c>
      <c r="F1127" s="19" t="str">
        <f t="shared" si="4"/>
        <v>Medium</v>
      </c>
      <c r="G1127" s="19">
        <v>1500000</v>
      </c>
      <c r="H1127" s="19" t="str">
        <f>IF(' BENGALURU HOUSE PRICE'!$G1127&lt;=500000,"Low",
IF(' BENGALURU HOUSE PRICE'!$G1127&lt;=1000000,"Medium",
IF(' BENGALURU HOUSE PRICE'!$G1127&lt;=3000000,"High","Luxury")))</f>
        <v>High</v>
      </c>
    </row>
    <row r="1128" spans="1:8" ht="15.75" customHeight="1" x14ac:dyDescent="0.25">
      <c r="A1128" s="19" t="s">
        <v>466</v>
      </c>
      <c r="B1128" s="19">
        <v>1115</v>
      </c>
      <c r="C1128" s="19">
        <v>2</v>
      </c>
      <c r="D1128" s="19">
        <v>2</v>
      </c>
      <c r="E1128" s="23" t="s">
        <v>262</v>
      </c>
      <c r="F1128" s="19" t="str">
        <f t="shared" si="4"/>
        <v>Medium</v>
      </c>
      <c r="G1128" s="19">
        <v>500000</v>
      </c>
      <c r="H1128" s="19" t="str">
        <f>IF(' BENGALURU HOUSE PRICE'!$G1128&lt;=500000,"Low",
IF(' BENGALURU HOUSE PRICE'!$G1128&lt;=1000000,"Medium",
IF(' BENGALURU HOUSE PRICE'!$G1128&lt;=3000000,"High","Luxury")))</f>
        <v>Low</v>
      </c>
    </row>
    <row r="1129" spans="1:8" ht="15.75" customHeight="1" x14ac:dyDescent="0.25">
      <c r="A1129" s="19" t="s">
        <v>182</v>
      </c>
      <c r="B1129" s="19">
        <v>1070</v>
      </c>
      <c r="C1129" s="19">
        <v>2</v>
      </c>
      <c r="D1129" s="19">
        <v>1</v>
      </c>
      <c r="E1129" s="23" t="s">
        <v>262</v>
      </c>
      <c r="F1129" s="19" t="str">
        <f t="shared" si="4"/>
        <v>Medium</v>
      </c>
      <c r="G1129" s="19">
        <v>450000</v>
      </c>
      <c r="H1129" s="19" t="str">
        <f>IF(' BENGALURU HOUSE PRICE'!$G1129&lt;=500000,"Low",
IF(' BENGALURU HOUSE PRICE'!$G1129&lt;=1000000,"Medium",
IF(' BENGALURU HOUSE PRICE'!$G1129&lt;=3000000,"High","Luxury")))</f>
        <v>Low</v>
      </c>
    </row>
    <row r="1130" spans="1:8" ht="15.75" customHeight="1" x14ac:dyDescent="0.25">
      <c r="A1130" s="19" t="s">
        <v>395</v>
      </c>
      <c r="B1130" s="19">
        <v>1128</v>
      </c>
      <c r="C1130" s="19">
        <v>2</v>
      </c>
      <c r="D1130" s="19">
        <v>2</v>
      </c>
      <c r="E1130" s="23" t="s">
        <v>262</v>
      </c>
      <c r="F1130" s="19" t="str">
        <f t="shared" si="4"/>
        <v>Medium</v>
      </c>
      <c r="G1130" s="19">
        <v>1050000</v>
      </c>
      <c r="H1130" s="19" t="str">
        <f>IF(' BENGALURU HOUSE PRICE'!$G1130&lt;=500000,"Low",
IF(' BENGALURU HOUSE PRICE'!$G1130&lt;=1000000,"Medium",
IF(' BENGALURU HOUSE PRICE'!$G1130&lt;=3000000,"High","Luxury")))</f>
        <v>High</v>
      </c>
    </row>
    <row r="1131" spans="1:8" ht="15.75" customHeight="1" x14ac:dyDescent="0.25">
      <c r="A1131" s="19" t="s">
        <v>69</v>
      </c>
      <c r="B1131" s="19">
        <v>1162</v>
      </c>
      <c r="C1131" s="19">
        <v>2</v>
      </c>
      <c r="D1131" s="19">
        <v>1</v>
      </c>
      <c r="E1131" s="23" t="s">
        <v>262</v>
      </c>
      <c r="F1131" s="19" t="str">
        <f t="shared" si="4"/>
        <v>Medium</v>
      </c>
      <c r="G1131" s="19">
        <v>570000</v>
      </c>
      <c r="H1131" s="19" t="str">
        <f>IF(' BENGALURU HOUSE PRICE'!$G1131&lt;=500000,"Low",
IF(' BENGALURU HOUSE PRICE'!$G1131&lt;=1000000,"Medium",
IF(' BENGALURU HOUSE PRICE'!$G1131&lt;=3000000,"High","Luxury")))</f>
        <v>Medium</v>
      </c>
    </row>
    <row r="1132" spans="1:8" ht="15.75" customHeight="1" x14ac:dyDescent="0.25">
      <c r="A1132" s="19" t="s">
        <v>467</v>
      </c>
      <c r="B1132" s="19">
        <v>1339</v>
      </c>
      <c r="C1132" s="19">
        <v>2</v>
      </c>
      <c r="D1132" s="19">
        <v>2</v>
      </c>
      <c r="E1132" s="23" t="s">
        <v>262</v>
      </c>
      <c r="F1132" s="19" t="str">
        <f t="shared" si="4"/>
        <v>Medium</v>
      </c>
      <c r="G1132" s="19">
        <v>550000</v>
      </c>
      <c r="H1132" s="19" t="str">
        <f>IF(' BENGALURU HOUSE PRICE'!$G1132&lt;=500000,"Low",
IF(' BENGALURU HOUSE PRICE'!$G1132&lt;=1000000,"Medium",
IF(' BENGALURU HOUSE PRICE'!$G1132&lt;=3000000,"High","Luxury")))</f>
        <v>Medium</v>
      </c>
    </row>
    <row r="1133" spans="1:8" ht="15.75" customHeight="1" x14ac:dyDescent="0.25">
      <c r="A1133" s="19" t="s">
        <v>169</v>
      </c>
      <c r="B1133" s="19">
        <v>1192</v>
      </c>
      <c r="C1133" s="19">
        <v>2</v>
      </c>
      <c r="D1133" s="19">
        <v>2</v>
      </c>
      <c r="E1133" s="23" t="s">
        <v>262</v>
      </c>
      <c r="F1133" s="19" t="str">
        <f t="shared" si="4"/>
        <v>Medium</v>
      </c>
      <c r="G1133" s="19">
        <v>750000</v>
      </c>
      <c r="H1133" s="19" t="str">
        <f>IF(' BENGALURU HOUSE PRICE'!$G1133&lt;=500000,"Low",
IF(' BENGALURU HOUSE PRICE'!$G1133&lt;=1000000,"Medium",
IF(' BENGALURU HOUSE PRICE'!$G1133&lt;=3000000,"High","Luxury")))</f>
        <v>Medium</v>
      </c>
    </row>
    <row r="1134" spans="1:8" ht="15.75" customHeight="1" x14ac:dyDescent="0.25">
      <c r="A1134" s="19" t="s">
        <v>17</v>
      </c>
      <c r="B1134" s="19">
        <v>1920</v>
      </c>
      <c r="C1134" s="19">
        <v>3</v>
      </c>
      <c r="D1134" s="19">
        <v>1</v>
      </c>
      <c r="E1134" s="23" t="s">
        <v>27</v>
      </c>
      <c r="F1134" s="19" t="str">
        <f t="shared" si="4"/>
        <v>Medium</v>
      </c>
      <c r="G1134" s="19">
        <v>1150000</v>
      </c>
      <c r="H1134" s="19" t="str">
        <f>IF(' BENGALURU HOUSE PRICE'!$G1134&lt;=500000,"Low",
IF(' BENGALURU HOUSE PRICE'!$G1134&lt;=1000000,"Medium",
IF(' BENGALURU HOUSE PRICE'!$G1134&lt;=3000000,"High","Luxury")))</f>
        <v>High</v>
      </c>
    </row>
    <row r="1135" spans="1:8" ht="15.75" customHeight="1" x14ac:dyDescent="0.25">
      <c r="A1135" s="19" t="s">
        <v>336</v>
      </c>
      <c r="B1135" s="19">
        <v>1255</v>
      </c>
      <c r="C1135" s="19">
        <v>2</v>
      </c>
      <c r="D1135" s="19">
        <v>1</v>
      </c>
      <c r="E1135" s="23" t="s">
        <v>262</v>
      </c>
      <c r="F1135" s="19" t="str">
        <f t="shared" si="4"/>
        <v>Medium</v>
      </c>
      <c r="G1135" s="19">
        <v>523200</v>
      </c>
      <c r="H1135" s="19" t="str">
        <f>IF(' BENGALURU HOUSE PRICE'!$G1135&lt;=500000,"Low",
IF(' BENGALURU HOUSE PRICE'!$G1135&lt;=1000000,"Medium",
IF(' BENGALURU HOUSE PRICE'!$G1135&lt;=3000000,"High","Luxury")))</f>
        <v>Medium</v>
      </c>
    </row>
    <row r="1136" spans="1:8" ht="15.75" customHeight="1" x14ac:dyDescent="0.25">
      <c r="A1136" s="19" t="s">
        <v>197</v>
      </c>
      <c r="B1136" s="19">
        <v>1357</v>
      </c>
      <c r="C1136" s="19">
        <v>2</v>
      </c>
      <c r="D1136" s="19">
        <v>1</v>
      </c>
      <c r="E1136" s="23" t="s">
        <v>262</v>
      </c>
      <c r="F1136" s="19" t="str">
        <f t="shared" si="4"/>
        <v>Medium</v>
      </c>
      <c r="G1136" s="19">
        <v>1150000</v>
      </c>
      <c r="H1136" s="19" t="str">
        <f>IF(' BENGALURU HOUSE PRICE'!$G1136&lt;=500000,"Low",
IF(' BENGALURU HOUSE PRICE'!$G1136&lt;=1000000,"Medium",
IF(' BENGALURU HOUSE PRICE'!$G1136&lt;=3000000,"High","Luxury")))</f>
        <v>High</v>
      </c>
    </row>
    <row r="1137" spans="1:8" ht="15.75" customHeight="1" x14ac:dyDescent="0.25">
      <c r="A1137" s="19" t="s">
        <v>89</v>
      </c>
      <c r="B1137" s="19">
        <v>1600</v>
      </c>
      <c r="C1137" s="19">
        <v>3</v>
      </c>
      <c r="D1137" s="19">
        <v>2</v>
      </c>
      <c r="E1137" s="23" t="s">
        <v>27</v>
      </c>
      <c r="F1137" s="19" t="str">
        <f t="shared" si="4"/>
        <v>Medium</v>
      </c>
      <c r="G1137" s="19">
        <v>750000</v>
      </c>
      <c r="H1137" s="19" t="str">
        <f>IF(' BENGALURU HOUSE PRICE'!$G1137&lt;=500000,"Low",
IF(' BENGALURU HOUSE PRICE'!$G1137&lt;=1000000,"Medium",
IF(' BENGALURU HOUSE PRICE'!$G1137&lt;=3000000,"High","Luxury")))</f>
        <v>Medium</v>
      </c>
    </row>
    <row r="1138" spans="1:8" ht="15.75" customHeight="1" x14ac:dyDescent="0.25">
      <c r="A1138" s="19" t="s">
        <v>468</v>
      </c>
      <c r="B1138" s="19">
        <v>1225</v>
      </c>
      <c r="C1138" s="19">
        <v>2</v>
      </c>
      <c r="D1138" s="19">
        <v>2</v>
      </c>
      <c r="E1138" s="23" t="s">
        <v>262</v>
      </c>
      <c r="F1138" s="19" t="str">
        <f t="shared" si="4"/>
        <v>Medium</v>
      </c>
      <c r="G1138" s="19">
        <v>551100</v>
      </c>
      <c r="H1138" s="19" t="str">
        <f>IF(' BENGALURU HOUSE PRICE'!$G1138&lt;=500000,"Low",
IF(' BENGALURU HOUSE PRICE'!$G1138&lt;=1000000,"Medium",
IF(' BENGALURU HOUSE PRICE'!$G1138&lt;=3000000,"High","Luxury")))</f>
        <v>Medium</v>
      </c>
    </row>
    <row r="1139" spans="1:8" ht="15.75" customHeight="1" x14ac:dyDescent="0.25">
      <c r="A1139" s="19" t="s">
        <v>25</v>
      </c>
      <c r="B1139" s="19">
        <v>2400</v>
      </c>
      <c r="C1139" s="19">
        <v>4</v>
      </c>
      <c r="D1139" s="19">
        <v>3</v>
      </c>
      <c r="E1139" s="23" t="s">
        <v>264</v>
      </c>
      <c r="F1139" s="19" t="str">
        <f t="shared" si="4"/>
        <v>Large</v>
      </c>
      <c r="G1139" s="19">
        <v>2000000</v>
      </c>
      <c r="H1139" s="19" t="str">
        <f>IF(' BENGALURU HOUSE PRICE'!$G1139&lt;=500000,"Low",
IF(' BENGALURU HOUSE PRICE'!$G1139&lt;=1000000,"Medium",
IF(' BENGALURU HOUSE PRICE'!$G1139&lt;=3000000,"High","Luxury")))</f>
        <v>High</v>
      </c>
    </row>
    <row r="1140" spans="1:8" ht="15.75" customHeight="1" x14ac:dyDescent="0.25">
      <c r="A1140" s="19" t="s">
        <v>146</v>
      </c>
      <c r="B1140" s="19">
        <v>1570</v>
      </c>
      <c r="C1140" s="19">
        <v>3</v>
      </c>
      <c r="D1140" s="19">
        <v>3</v>
      </c>
      <c r="E1140" s="23" t="s">
        <v>27</v>
      </c>
      <c r="F1140" s="19" t="str">
        <f t="shared" si="4"/>
        <v>Medium</v>
      </c>
      <c r="G1140" s="19">
        <v>800000</v>
      </c>
      <c r="H1140" s="19" t="str">
        <f>IF(' BENGALURU HOUSE PRICE'!$G1140&lt;=500000,"Low",
IF(' BENGALURU HOUSE PRICE'!$G1140&lt;=1000000,"Medium",
IF(' BENGALURU HOUSE PRICE'!$G1140&lt;=3000000,"High","Luxury")))</f>
        <v>Medium</v>
      </c>
    </row>
    <row r="1141" spans="1:8" ht="15.75" customHeight="1" x14ac:dyDescent="0.25">
      <c r="A1141" s="19" t="s">
        <v>23</v>
      </c>
      <c r="B1141" s="19">
        <v>1093</v>
      </c>
      <c r="C1141" s="19">
        <v>2</v>
      </c>
      <c r="D1141" s="19">
        <v>2</v>
      </c>
      <c r="E1141" s="23" t="s">
        <v>262</v>
      </c>
      <c r="F1141" s="19" t="str">
        <f t="shared" si="4"/>
        <v>Medium</v>
      </c>
      <c r="G1141" s="19">
        <v>700000</v>
      </c>
      <c r="H1141" s="19" t="str">
        <f>IF(' BENGALURU HOUSE PRICE'!$G1141&lt;=500000,"Low",
IF(' BENGALURU HOUSE PRICE'!$G1141&lt;=1000000,"Medium",
IF(' BENGALURU HOUSE PRICE'!$G1141&lt;=3000000,"High","Luxury")))</f>
        <v>Medium</v>
      </c>
    </row>
    <row r="1142" spans="1:8" ht="15.75" customHeight="1" x14ac:dyDescent="0.25">
      <c r="A1142" s="19" t="s">
        <v>56</v>
      </c>
      <c r="B1142" s="19">
        <v>1865</v>
      </c>
      <c r="C1142" s="19">
        <v>3</v>
      </c>
      <c r="D1142" s="19">
        <v>3</v>
      </c>
      <c r="E1142" s="23" t="s">
        <v>27</v>
      </c>
      <c r="F1142" s="19" t="str">
        <f t="shared" si="4"/>
        <v>Medium</v>
      </c>
      <c r="G1142" s="19">
        <v>1450000</v>
      </c>
      <c r="H1142" s="19" t="str">
        <f>IF(' BENGALURU HOUSE PRICE'!$G1142&lt;=500000,"Low",
IF(' BENGALURU HOUSE PRICE'!$G1142&lt;=1000000,"Medium",
IF(' BENGALURU HOUSE PRICE'!$G1142&lt;=3000000,"High","Luxury")))</f>
        <v>High</v>
      </c>
    </row>
    <row r="1143" spans="1:8" ht="15.75" customHeight="1" x14ac:dyDescent="0.25">
      <c r="A1143" s="19" t="s">
        <v>392</v>
      </c>
      <c r="B1143" s="19">
        <v>1200</v>
      </c>
      <c r="C1143" s="19">
        <v>7</v>
      </c>
      <c r="D1143" s="19">
        <v>3</v>
      </c>
      <c r="E1143" s="23" t="s">
        <v>266</v>
      </c>
      <c r="F1143" s="19" t="str">
        <f t="shared" si="4"/>
        <v>Medium</v>
      </c>
      <c r="G1143" s="19">
        <v>1650000</v>
      </c>
      <c r="H1143" s="19" t="str">
        <f>IF(' BENGALURU HOUSE PRICE'!$G1143&lt;=500000,"Low",
IF(' BENGALURU HOUSE PRICE'!$G1143&lt;=1000000,"Medium",
IF(' BENGALURU HOUSE PRICE'!$G1143&lt;=3000000,"High","Luxury")))</f>
        <v>High</v>
      </c>
    </row>
    <row r="1144" spans="1:8" ht="15.75" customHeight="1" x14ac:dyDescent="0.25">
      <c r="A1144" s="19" t="s">
        <v>469</v>
      </c>
      <c r="B1144" s="19">
        <v>1039</v>
      </c>
      <c r="C1144" s="19">
        <v>2</v>
      </c>
      <c r="D1144" s="19">
        <v>2</v>
      </c>
      <c r="E1144" s="23" t="s">
        <v>262</v>
      </c>
      <c r="F1144" s="19" t="str">
        <f t="shared" si="4"/>
        <v>Medium</v>
      </c>
      <c r="G1144" s="19">
        <v>800000</v>
      </c>
      <c r="H1144" s="19" t="str">
        <f>IF(' BENGALURU HOUSE PRICE'!$G1144&lt;=500000,"Low",
IF(' BENGALURU HOUSE PRICE'!$G1144&lt;=1000000,"Medium",
IF(' BENGALURU HOUSE PRICE'!$G1144&lt;=3000000,"High","Luxury")))</f>
        <v>Medium</v>
      </c>
    </row>
    <row r="1145" spans="1:8" ht="15.75" customHeight="1" x14ac:dyDescent="0.25">
      <c r="A1145" s="19" t="s">
        <v>348</v>
      </c>
      <c r="B1145" s="19">
        <v>1246</v>
      </c>
      <c r="C1145" s="19">
        <v>2</v>
      </c>
      <c r="D1145" s="19">
        <v>1</v>
      </c>
      <c r="E1145" s="23" t="s">
        <v>262</v>
      </c>
      <c r="F1145" s="19" t="str">
        <f t="shared" si="4"/>
        <v>Medium</v>
      </c>
      <c r="G1145" s="19">
        <v>645000</v>
      </c>
      <c r="H1145" s="19" t="str">
        <f>IF(' BENGALURU HOUSE PRICE'!$G1145&lt;=500000,"Low",
IF(' BENGALURU HOUSE PRICE'!$G1145&lt;=1000000,"Medium",
IF(' BENGALURU HOUSE PRICE'!$G1145&lt;=3000000,"High","Luxury")))</f>
        <v>Medium</v>
      </c>
    </row>
    <row r="1146" spans="1:8" ht="15.75" customHeight="1" x14ac:dyDescent="0.25">
      <c r="A1146" s="19" t="s">
        <v>25</v>
      </c>
      <c r="B1146" s="19">
        <v>1985</v>
      </c>
      <c r="C1146" s="19">
        <v>3</v>
      </c>
      <c r="D1146" s="19">
        <v>2</v>
      </c>
      <c r="E1146" s="23" t="s">
        <v>27</v>
      </c>
      <c r="F1146" s="19" t="str">
        <f t="shared" si="4"/>
        <v>Medium</v>
      </c>
      <c r="G1146" s="19">
        <v>750000</v>
      </c>
      <c r="H1146" s="19" t="str">
        <f>IF(' BENGALURU HOUSE PRICE'!$G1146&lt;=500000,"Low",
IF(' BENGALURU HOUSE PRICE'!$G1146&lt;=1000000,"Medium",
IF(' BENGALURU HOUSE PRICE'!$G1146&lt;=3000000,"High","Luxury")))</f>
        <v>Medium</v>
      </c>
    </row>
    <row r="1147" spans="1:8" ht="15.75" customHeight="1" x14ac:dyDescent="0.25">
      <c r="A1147" s="19" t="s">
        <v>119</v>
      </c>
      <c r="B1147" s="19">
        <v>1590</v>
      </c>
      <c r="C1147" s="19">
        <v>3</v>
      </c>
      <c r="D1147" s="19">
        <v>3</v>
      </c>
      <c r="E1147" s="23" t="s">
        <v>27</v>
      </c>
      <c r="F1147" s="19" t="str">
        <f t="shared" si="4"/>
        <v>Medium</v>
      </c>
      <c r="G1147" s="19">
        <v>490000</v>
      </c>
      <c r="H1147" s="19" t="str">
        <f>IF(' BENGALURU HOUSE PRICE'!$G1147&lt;=500000,"Low",
IF(' BENGALURU HOUSE PRICE'!$G1147&lt;=1000000,"Medium",
IF(' BENGALURU HOUSE PRICE'!$G1147&lt;=3000000,"High","Luxury")))</f>
        <v>Low</v>
      </c>
    </row>
    <row r="1148" spans="1:8" ht="15.75" customHeight="1" x14ac:dyDescent="0.25">
      <c r="A1148" s="19" t="s">
        <v>4</v>
      </c>
      <c r="B1148" s="19">
        <v>4000</v>
      </c>
      <c r="C1148" s="19">
        <v>4</v>
      </c>
      <c r="D1148" s="19">
        <v>2</v>
      </c>
      <c r="E1148" s="23" t="s">
        <v>264</v>
      </c>
      <c r="F1148" s="19" t="str">
        <f t="shared" si="4"/>
        <v>Large</v>
      </c>
      <c r="G1148" s="19">
        <v>6750000</v>
      </c>
      <c r="H1148" s="19" t="str">
        <f>IF(' BENGALURU HOUSE PRICE'!$G1148&lt;=500000,"Low",
IF(' BENGALURU HOUSE PRICE'!$G1148&lt;=1000000,"Medium",
IF(' BENGALURU HOUSE PRICE'!$G1148&lt;=3000000,"High","Luxury")))</f>
        <v>Luxury</v>
      </c>
    </row>
    <row r="1149" spans="1:8" ht="15.75" customHeight="1" x14ac:dyDescent="0.25">
      <c r="A1149" s="19" t="s">
        <v>96</v>
      </c>
      <c r="B1149" s="19">
        <v>775</v>
      </c>
      <c r="C1149" s="19">
        <v>2</v>
      </c>
      <c r="D1149" s="19">
        <v>2</v>
      </c>
      <c r="E1149" s="23" t="s">
        <v>262</v>
      </c>
      <c r="F1149" s="19" t="str">
        <f t="shared" si="4"/>
        <v>Small</v>
      </c>
      <c r="G1149" s="19">
        <v>380000</v>
      </c>
      <c r="H1149" s="19" t="str">
        <f>IF(' BENGALURU HOUSE PRICE'!$G1149&lt;=500000,"Low",
IF(' BENGALURU HOUSE PRICE'!$G1149&lt;=1000000,"Medium",
IF(' BENGALURU HOUSE PRICE'!$G1149&lt;=3000000,"High","Luxury")))</f>
        <v>Low</v>
      </c>
    </row>
    <row r="1150" spans="1:8" ht="15.75" customHeight="1" x14ac:dyDescent="0.25">
      <c r="A1150" s="19" t="s">
        <v>205</v>
      </c>
      <c r="B1150" s="19">
        <v>1000</v>
      </c>
      <c r="C1150" s="19">
        <v>2</v>
      </c>
      <c r="D1150" s="19">
        <v>1</v>
      </c>
      <c r="E1150" s="23" t="s">
        <v>262</v>
      </c>
      <c r="F1150" s="19" t="str">
        <f t="shared" si="4"/>
        <v>Small</v>
      </c>
      <c r="G1150" s="19">
        <v>500000</v>
      </c>
      <c r="H1150" s="19" t="str">
        <f>IF(' BENGALURU HOUSE PRICE'!$G1150&lt;=500000,"Low",
IF(' BENGALURU HOUSE PRICE'!$G1150&lt;=1000000,"Medium",
IF(' BENGALURU HOUSE PRICE'!$G1150&lt;=3000000,"High","Luxury")))</f>
        <v>Low</v>
      </c>
    </row>
    <row r="1151" spans="1:8" ht="15.75" customHeight="1" x14ac:dyDescent="0.25">
      <c r="A1151" s="19" t="s">
        <v>109</v>
      </c>
      <c r="B1151" s="19">
        <v>1800</v>
      </c>
      <c r="C1151" s="19">
        <v>3</v>
      </c>
      <c r="D1151" s="19">
        <v>2</v>
      </c>
      <c r="E1151" s="23" t="s">
        <v>27</v>
      </c>
      <c r="F1151" s="19" t="str">
        <f t="shared" si="4"/>
        <v>Medium</v>
      </c>
      <c r="G1151" s="19">
        <v>1750000</v>
      </c>
      <c r="H1151" s="19" t="str">
        <f>IF(' BENGALURU HOUSE PRICE'!$G1151&lt;=500000,"Low",
IF(' BENGALURU HOUSE PRICE'!$G1151&lt;=1000000,"Medium",
IF(' BENGALURU HOUSE PRICE'!$G1151&lt;=3000000,"High","Luxury")))</f>
        <v>High</v>
      </c>
    </row>
    <row r="1152" spans="1:8" ht="15.75" customHeight="1" x14ac:dyDescent="0.25">
      <c r="A1152" s="19" t="s">
        <v>66</v>
      </c>
      <c r="B1152" s="19">
        <v>1035</v>
      </c>
      <c r="C1152" s="19">
        <v>2</v>
      </c>
      <c r="D1152" s="19">
        <v>1</v>
      </c>
      <c r="E1152" s="23" t="s">
        <v>262</v>
      </c>
      <c r="F1152" s="19" t="str">
        <f t="shared" si="4"/>
        <v>Medium</v>
      </c>
      <c r="G1152" s="19">
        <v>410000</v>
      </c>
      <c r="H1152" s="19" t="str">
        <f>IF(' BENGALURU HOUSE PRICE'!$G1152&lt;=500000,"Low",
IF(' BENGALURU HOUSE PRICE'!$G1152&lt;=1000000,"Medium",
IF(' BENGALURU HOUSE PRICE'!$G1152&lt;=3000000,"High","Luxury")))</f>
        <v>Low</v>
      </c>
    </row>
    <row r="1153" spans="1:8" ht="15.75" customHeight="1" x14ac:dyDescent="0.25">
      <c r="A1153" s="19" t="s">
        <v>85</v>
      </c>
      <c r="B1153" s="19">
        <v>1520</v>
      </c>
      <c r="C1153" s="19">
        <v>2</v>
      </c>
      <c r="D1153" s="19">
        <v>1</v>
      </c>
      <c r="E1153" s="23" t="s">
        <v>27</v>
      </c>
      <c r="F1153" s="19" t="str">
        <f t="shared" si="4"/>
        <v>Medium</v>
      </c>
      <c r="G1153" s="19">
        <v>750000</v>
      </c>
      <c r="H1153" s="19" t="str">
        <f>IF(' BENGALURU HOUSE PRICE'!$G1153&lt;=500000,"Low",
IF(' BENGALURU HOUSE PRICE'!$G1153&lt;=1000000,"Medium",
IF(' BENGALURU HOUSE PRICE'!$G1153&lt;=3000000,"High","Luxury")))</f>
        <v>Medium</v>
      </c>
    </row>
    <row r="1154" spans="1:8" ht="15.75" customHeight="1" x14ac:dyDescent="0.25">
      <c r="A1154" s="19" t="s">
        <v>25</v>
      </c>
      <c r="B1154" s="19">
        <v>1360</v>
      </c>
      <c r="C1154" s="19">
        <v>2</v>
      </c>
      <c r="D1154" s="19">
        <v>1</v>
      </c>
      <c r="E1154" s="23" t="s">
        <v>262</v>
      </c>
      <c r="F1154" s="19" t="str">
        <f t="shared" si="4"/>
        <v>Medium</v>
      </c>
      <c r="G1154" s="19">
        <v>950000</v>
      </c>
      <c r="H1154" s="19" t="str">
        <f>IF(' BENGALURU HOUSE PRICE'!$G1154&lt;=500000,"Low",
IF(' BENGALURU HOUSE PRICE'!$G1154&lt;=1000000,"Medium",
IF(' BENGALURU HOUSE PRICE'!$G1154&lt;=3000000,"High","Luxury")))</f>
        <v>Medium</v>
      </c>
    </row>
    <row r="1155" spans="1:8" ht="15.75" customHeight="1" x14ac:dyDescent="0.25">
      <c r="A1155" s="19" t="s">
        <v>470</v>
      </c>
      <c r="B1155" s="19">
        <v>6000</v>
      </c>
      <c r="C1155" s="19">
        <v>5</v>
      </c>
      <c r="D1155" s="19">
        <v>3</v>
      </c>
      <c r="E1155" s="23" t="s">
        <v>264</v>
      </c>
      <c r="F1155" s="19" t="str">
        <f t="shared" si="4"/>
        <v>Large</v>
      </c>
      <c r="G1155" s="19">
        <v>4000000</v>
      </c>
      <c r="H1155" s="19" t="str">
        <f>IF(' BENGALURU HOUSE PRICE'!$G1155&lt;=500000,"Low",
IF(' BENGALURU HOUSE PRICE'!$G1155&lt;=1000000,"Medium",
IF(' BENGALURU HOUSE PRICE'!$G1155&lt;=3000000,"High","Luxury")))</f>
        <v>Luxury</v>
      </c>
    </row>
    <row r="1156" spans="1:8" ht="15.75" customHeight="1" x14ac:dyDescent="0.25">
      <c r="A1156" s="19" t="s">
        <v>154</v>
      </c>
      <c r="B1156" s="19">
        <v>1117</v>
      </c>
      <c r="C1156" s="19">
        <v>2</v>
      </c>
      <c r="D1156" s="19">
        <v>2</v>
      </c>
      <c r="E1156" s="23" t="s">
        <v>262</v>
      </c>
      <c r="F1156" s="19" t="str">
        <f t="shared" si="4"/>
        <v>Medium</v>
      </c>
      <c r="G1156" s="19">
        <v>560000</v>
      </c>
      <c r="H1156" s="19" t="str">
        <f>IF(' BENGALURU HOUSE PRICE'!$G1156&lt;=500000,"Low",
IF(' BENGALURU HOUSE PRICE'!$G1156&lt;=1000000,"Medium",
IF(' BENGALURU HOUSE PRICE'!$G1156&lt;=3000000,"High","Luxury")))</f>
        <v>Medium</v>
      </c>
    </row>
    <row r="1157" spans="1:8" ht="15.75" customHeight="1" x14ac:dyDescent="0.25">
      <c r="A1157" s="19" t="s">
        <v>273</v>
      </c>
      <c r="B1157" s="19">
        <v>1200</v>
      </c>
      <c r="C1157" s="19">
        <v>4</v>
      </c>
      <c r="D1157" s="19">
        <v>3</v>
      </c>
      <c r="E1157" s="23" t="s">
        <v>264</v>
      </c>
      <c r="F1157" s="19" t="str">
        <f t="shared" si="4"/>
        <v>Medium</v>
      </c>
      <c r="G1157" s="19">
        <v>1200000</v>
      </c>
      <c r="H1157" s="19" t="str">
        <f>IF(' BENGALURU HOUSE PRICE'!$G1157&lt;=500000,"Low",
IF(' BENGALURU HOUSE PRICE'!$G1157&lt;=1000000,"Medium",
IF(' BENGALURU HOUSE PRICE'!$G1157&lt;=3000000,"High","Luxury")))</f>
        <v>High</v>
      </c>
    </row>
    <row r="1158" spans="1:8" ht="15.75" customHeight="1" x14ac:dyDescent="0.25">
      <c r="A1158" s="19" t="s">
        <v>98</v>
      </c>
      <c r="B1158" s="19">
        <v>1330</v>
      </c>
      <c r="C1158" s="19">
        <v>2</v>
      </c>
      <c r="D1158" s="19">
        <v>1</v>
      </c>
      <c r="E1158" s="23" t="s">
        <v>262</v>
      </c>
      <c r="F1158" s="19" t="str">
        <f t="shared" si="4"/>
        <v>Medium</v>
      </c>
      <c r="G1158" s="19">
        <v>925000</v>
      </c>
      <c r="H1158" s="19" t="str">
        <f>IF(' BENGALURU HOUSE PRICE'!$G1158&lt;=500000,"Low",
IF(' BENGALURU HOUSE PRICE'!$G1158&lt;=1000000,"Medium",
IF(' BENGALURU HOUSE PRICE'!$G1158&lt;=3000000,"High","Luxury")))</f>
        <v>Medium</v>
      </c>
    </row>
    <row r="1159" spans="1:8" ht="15.75" customHeight="1" x14ac:dyDescent="0.25">
      <c r="A1159" s="19" t="s">
        <v>20</v>
      </c>
      <c r="B1159" s="19">
        <v>1937</v>
      </c>
      <c r="C1159" s="19">
        <v>3</v>
      </c>
      <c r="D1159" s="19">
        <v>2</v>
      </c>
      <c r="E1159" s="23" t="s">
        <v>27</v>
      </c>
      <c r="F1159" s="19" t="str">
        <f t="shared" si="4"/>
        <v>Medium</v>
      </c>
      <c r="G1159" s="19">
        <v>1600000</v>
      </c>
      <c r="H1159" s="19" t="str">
        <f>IF(' BENGALURU HOUSE PRICE'!$G1159&lt;=500000,"Low",
IF(' BENGALURU HOUSE PRICE'!$G1159&lt;=1000000,"Medium",
IF(' BENGALURU HOUSE PRICE'!$G1159&lt;=3000000,"High","Luxury")))</f>
        <v>High</v>
      </c>
    </row>
    <row r="1160" spans="1:8" ht="15.75" customHeight="1" x14ac:dyDescent="0.25">
      <c r="A1160" s="19" t="s">
        <v>16</v>
      </c>
      <c r="B1160" s="19">
        <v>1128</v>
      </c>
      <c r="C1160" s="19">
        <v>2</v>
      </c>
      <c r="D1160" s="19">
        <v>1</v>
      </c>
      <c r="E1160" s="23" t="s">
        <v>262</v>
      </c>
      <c r="F1160" s="19" t="str">
        <f t="shared" si="4"/>
        <v>Medium</v>
      </c>
      <c r="G1160" s="19">
        <v>654900</v>
      </c>
      <c r="H1160" s="19" t="str">
        <f>IF(' BENGALURU HOUSE PRICE'!$G1160&lt;=500000,"Low",
IF(' BENGALURU HOUSE PRICE'!$G1160&lt;=1000000,"Medium",
IF(' BENGALURU HOUSE PRICE'!$G1160&lt;=3000000,"High","Luxury")))</f>
        <v>Medium</v>
      </c>
    </row>
    <row r="1161" spans="1:8" ht="15.75" customHeight="1" x14ac:dyDescent="0.25">
      <c r="A1161" s="19" t="s">
        <v>471</v>
      </c>
      <c r="B1161" s="19">
        <v>1053</v>
      </c>
      <c r="C1161" s="19">
        <v>2</v>
      </c>
      <c r="D1161" s="19">
        <v>1</v>
      </c>
      <c r="E1161" s="23" t="s">
        <v>262</v>
      </c>
      <c r="F1161" s="19" t="str">
        <f t="shared" si="4"/>
        <v>Medium</v>
      </c>
      <c r="G1161" s="19">
        <v>450000</v>
      </c>
      <c r="H1161" s="19" t="str">
        <f>IF(' BENGALURU HOUSE PRICE'!$G1161&lt;=500000,"Low",
IF(' BENGALURU HOUSE PRICE'!$G1161&lt;=1000000,"Medium",
IF(' BENGALURU HOUSE PRICE'!$G1161&lt;=3000000,"High","Luxury")))</f>
        <v>Low</v>
      </c>
    </row>
    <row r="1162" spans="1:8" ht="15.75" customHeight="1" x14ac:dyDescent="0.25">
      <c r="A1162" s="19" t="s">
        <v>192</v>
      </c>
      <c r="B1162" s="19">
        <v>1198</v>
      </c>
      <c r="C1162" s="19">
        <v>2</v>
      </c>
      <c r="D1162" s="19">
        <v>1</v>
      </c>
      <c r="E1162" s="23" t="s">
        <v>262</v>
      </c>
      <c r="F1162" s="19" t="str">
        <f t="shared" si="4"/>
        <v>Medium</v>
      </c>
      <c r="G1162" s="19">
        <v>770000</v>
      </c>
      <c r="H1162" s="19" t="str">
        <f>IF(' BENGALURU HOUSE PRICE'!$G1162&lt;=500000,"Low",
IF(' BENGALURU HOUSE PRICE'!$G1162&lt;=1000000,"Medium",
IF(' BENGALURU HOUSE PRICE'!$G1162&lt;=3000000,"High","Luxury")))</f>
        <v>Medium</v>
      </c>
    </row>
    <row r="1163" spans="1:8" ht="15.75" customHeight="1" x14ac:dyDescent="0.25">
      <c r="A1163" s="19" t="s">
        <v>20</v>
      </c>
      <c r="B1163" s="19">
        <v>1152</v>
      </c>
      <c r="C1163" s="19">
        <v>2</v>
      </c>
      <c r="D1163" s="19">
        <v>1</v>
      </c>
      <c r="E1163" s="23" t="s">
        <v>262</v>
      </c>
      <c r="F1163" s="19" t="str">
        <f t="shared" si="4"/>
        <v>Medium</v>
      </c>
      <c r="G1163" s="19">
        <v>560000</v>
      </c>
      <c r="H1163" s="19" t="str">
        <f>IF(' BENGALURU HOUSE PRICE'!$G1163&lt;=500000,"Low",
IF(' BENGALURU HOUSE PRICE'!$G1163&lt;=1000000,"Medium",
IF(' BENGALURU HOUSE PRICE'!$G1163&lt;=3000000,"High","Luxury")))</f>
        <v>Medium</v>
      </c>
    </row>
    <row r="1164" spans="1:8" ht="15.75" customHeight="1" x14ac:dyDescent="0.25">
      <c r="A1164" s="19" t="s">
        <v>28</v>
      </c>
      <c r="B1164" s="19">
        <v>1200</v>
      </c>
      <c r="C1164" s="19">
        <v>6</v>
      </c>
      <c r="D1164" s="19">
        <v>2</v>
      </c>
      <c r="E1164" s="23" t="s">
        <v>266</v>
      </c>
      <c r="F1164" s="19" t="str">
        <f t="shared" si="4"/>
        <v>Medium</v>
      </c>
      <c r="G1164" s="19">
        <v>1250000</v>
      </c>
      <c r="H1164" s="19" t="str">
        <f>IF(' BENGALURU HOUSE PRICE'!$G1164&lt;=500000,"Low",
IF(' BENGALURU HOUSE PRICE'!$G1164&lt;=1000000,"Medium",
IF(' BENGALURU HOUSE PRICE'!$G1164&lt;=3000000,"High","Luxury")))</f>
        <v>High</v>
      </c>
    </row>
    <row r="1165" spans="1:8" ht="15.75" customHeight="1" x14ac:dyDescent="0.25">
      <c r="A1165" s="19" t="s">
        <v>472</v>
      </c>
      <c r="B1165" s="19">
        <v>1625</v>
      </c>
      <c r="C1165" s="19">
        <v>2</v>
      </c>
      <c r="D1165" s="19">
        <v>1</v>
      </c>
      <c r="E1165" s="23" t="s">
        <v>262</v>
      </c>
      <c r="F1165" s="19" t="str">
        <f t="shared" si="4"/>
        <v>Medium</v>
      </c>
      <c r="G1165" s="19">
        <v>750000</v>
      </c>
      <c r="H1165" s="19" t="str">
        <f>IF(' BENGALURU HOUSE PRICE'!$G1165&lt;=500000,"Low",
IF(' BENGALURU HOUSE PRICE'!$G1165&lt;=1000000,"Medium",
IF(' BENGALURU HOUSE PRICE'!$G1165&lt;=3000000,"High","Luxury")))</f>
        <v>Medium</v>
      </c>
    </row>
    <row r="1166" spans="1:8" ht="15.75" customHeight="1" x14ac:dyDescent="0.25">
      <c r="A1166" s="19" t="s">
        <v>162</v>
      </c>
      <c r="B1166" s="19">
        <v>1397</v>
      </c>
      <c r="C1166" s="19">
        <v>3</v>
      </c>
      <c r="D1166" s="19">
        <v>3</v>
      </c>
      <c r="E1166" s="23" t="s">
        <v>27</v>
      </c>
      <c r="F1166" s="19" t="str">
        <f t="shared" si="4"/>
        <v>Medium</v>
      </c>
      <c r="G1166" s="19">
        <v>1050000</v>
      </c>
      <c r="H1166" s="19" t="str">
        <f>IF(' BENGALURU HOUSE PRICE'!$G1166&lt;=500000,"Low",
IF(' BENGALURU HOUSE PRICE'!$G1166&lt;=1000000,"Medium",
IF(' BENGALURU HOUSE PRICE'!$G1166&lt;=3000000,"High","Luxury")))</f>
        <v>High</v>
      </c>
    </row>
    <row r="1167" spans="1:8" ht="15.75" customHeight="1" x14ac:dyDescent="0.25">
      <c r="A1167" s="19" t="s">
        <v>250</v>
      </c>
      <c r="B1167" s="19">
        <v>1523</v>
      </c>
      <c r="C1167" s="19">
        <v>3</v>
      </c>
      <c r="D1167" s="19">
        <v>3</v>
      </c>
      <c r="E1167" s="23" t="s">
        <v>27</v>
      </c>
      <c r="F1167" s="19" t="str">
        <f t="shared" si="4"/>
        <v>Medium</v>
      </c>
      <c r="G1167" s="19">
        <v>1700000</v>
      </c>
      <c r="H1167" s="19" t="str">
        <f>IF(' BENGALURU HOUSE PRICE'!$G1167&lt;=500000,"Low",
IF(' BENGALURU HOUSE PRICE'!$G1167&lt;=1000000,"Medium",
IF(' BENGALURU HOUSE PRICE'!$G1167&lt;=3000000,"High","Luxury")))</f>
        <v>High</v>
      </c>
    </row>
    <row r="1168" spans="1:8" ht="15.75" customHeight="1" x14ac:dyDescent="0.25">
      <c r="A1168" s="19" t="s">
        <v>141</v>
      </c>
      <c r="B1168" s="19">
        <v>883</v>
      </c>
      <c r="C1168" s="19">
        <v>2</v>
      </c>
      <c r="D1168" s="19">
        <v>1</v>
      </c>
      <c r="E1168" s="23" t="s">
        <v>262</v>
      </c>
      <c r="F1168" s="19" t="str">
        <f t="shared" si="4"/>
        <v>Small</v>
      </c>
      <c r="G1168" s="19">
        <v>450000</v>
      </c>
      <c r="H1168" s="19" t="str">
        <f>IF(' BENGALURU HOUSE PRICE'!$G1168&lt;=500000,"Low",
IF(' BENGALURU HOUSE PRICE'!$G1168&lt;=1000000,"Medium",
IF(' BENGALURU HOUSE PRICE'!$G1168&lt;=3000000,"High","Luxury")))</f>
        <v>Low</v>
      </c>
    </row>
    <row r="1169" spans="1:8" ht="15.75" customHeight="1" x14ac:dyDescent="0.25">
      <c r="A1169" s="19" t="s">
        <v>138</v>
      </c>
      <c r="B1169" s="19">
        <v>700</v>
      </c>
      <c r="C1169" s="19">
        <v>1</v>
      </c>
      <c r="D1169" s="19">
        <v>0</v>
      </c>
      <c r="E1169" s="23" t="s">
        <v>267</v>
      </c>
      <c r="F1169" s="19" t="str">
        <f t="shared" si="4"/>
        <v>Small</v>
      </c>
      <c r="G1169" s="19">
        <v>380000</v>
      </c>
      <c r="H1169" s="19" t="str">
        <f>IF(' BENGALURU HOUSE PRICE'!$G1169&lt;=500000,"Low",
IF(' BENGALURU HOUSE PRICE'!$G1169&lt;=1000000,"Medium",
IF(' BENGALURU HOUSE PRICE'!$G1169&lt;=3000000,"High","Luxury")))</f>
        <v>Low</v>
      </c>
    </row>
    <row r="1170" spans="1:8" ht="15.75" customHeight="1" x14ac:dyDescent="0.25">
      <c r="A1170" s="19" t="s">
        <v>26</v>
      </c>
      <c r="B1170" s="19">
        <v>1170</v>
      </c>
      <c r="C1170" s="19">
        <v>2</v>
      </c>
      <c r="D1170" s="19">
        <v>1</v>
      </c>
      <c r="E1170" s="23" t="s">
        <v>262</v>
      </c>
      <c r="F1170" s="19" t="str">
        <f t="shared" si="4"/>
        <v>Medium</v>
      </c>
      <c r="G1170" s="19">
        <v>625000</v>
      </c>
      <c r="H1170" s="19" t="str">
        <f>IF(' BENGALURU HOUSE PRICE'!$G1170&lt;=500000,"Low",
IF(' BENGALURU HOUSE PRICE'!$G1170&lt;=1000000,"Medium",
IF(' BENGALURU HOUSE PRICE'!$G1170&lt;=3000000,"High","Luxury")))</f>
        <v>Medium</v>
      </c>
    </row>
    <row r="1171" spans="1:8" ht="15.75" customHeight="1" x14ac:dyDescent="0.25">
      <c r="A1171" s="19" t="s">
        <v>19</v>
      </c>
      <c r="B1171" s="19">
        <v>1200</v>
      </c>
      <c r="C1171" s="19">
        <v>2</v>
      </c>
      <c r="D1171" s="19">
        <v>2</v>
      </c>
      <c r="E1171" s="23" t="s">
        <v>27</v>
      </c>
      <c r="F1171" s="19" t="str">
        <f t="shared" si="4"/>
        <v>Medium</v>
      </c>
      <c r="G1171" s="19">
        <v>420000</v>
      </c>
      <c r="H1171" s="19" t="str">
        <f>IF(' BENGALURU HOUSE PRICE'!$G1171&lt;=500000,"Low",
IF(' BENGALURU HOUSE PRICE'!$G1171&lt;=1000000,"Medium",
IF(' BENGALURU HOUSE PRICE'!$G1171&lt;=3000000,"High","Luxury")))</f>
        <v>Low</v>
      </c>
    </row>
    <row r="1172" spans="1:8" ht="15.75" customHeight="1" x14ac:dyDescent="0.25">
      <c r="A1172" s="19" t="s">
        <v>172</v>
      </c>
      <c r="B1172" s="19">
        <v>2400</v>
      </c>
      <c r="C1172" s="19">
        <v>3</v>
      </c>
      <c r="D1172" s="19">
        <v>2</v>
      </c>
      <c r="E1172" s="23" t="s">
        <v>27</v>
      </c>
      <c r="F1172" s="19" t="str">
        <f t="shared" si="4"/>
        <v>Large</v>
      </c>
      <c r="G1172" s="19">
        <v>1700000</v>
      </c>
      <c r="H1172" s="19" t="str">
        <f>IF(' BENGALURU HOUSE PRICE'!$G1172&lt;=500000,"Low",
IF(' BENGALURU HOUSE PRICE'!$G1172&lt;=1000000,"Medium",
IF(' BENGALURU HOUSE PRICE'!$G1172&lt;=3000000,"High","Luxury")))</f>
        <v>High</v>
      </c>
    </row>
    <row r="1173" spans="1:8" ht="15.75" customHeight="1" x14ac:dyDescent="0.25">
      <c r="A1173" s="19" t="s">
        <v>310</v>
      </c>
      <c r="B1173" s="19">
        <v>1480</v>
      </c>
      <c r="C1173" s="19">
        <v>2</v>
      </c>
      <c r="D1173" s="19">
        <v>2</v>
      </c>
      <c r="E1173" s="23" t="s">
        <v>262</v>
      </c>
      <c r="F1173" s="19" t="str">
        <f t="shared" si="4"/>
        <v>Medium</v>
      </c>
      <c r="G1173" s="19">
        <v>650000</v>
      </c>
      <c r="H1173" s="19" t="str">
        <f>IF(' BENGALURU HOUSE PRICE'!$G1173&lt;=500000,"Low",
IF(' BENGALURU HOUSE PRICE'!$G1173&lt;=1000000,"Medium",
IF(' BENGALURU HOUSE PRICE'!$G1173&lt;=3000000,"High","Luxury")))</f>
        <v>Medium</v>
      </c>
    </row>
    <row r="1174" spans="1:8" ht="15.75" customHeight="1" x14ac:dyDescent="0.25">
      <c r="A1174" s="19" t="s">
        <v>35</v>
      </c>
      <c r="B1174" s="19">
        <v>1897</v>
      </c>
      <c r="C1174" s="19">
        <v>3</v>
      </c>
      <c r="D1174" s="19">
        <v>2</v>
      </c>
      <c r="E1174" s="23" t="s">
        <v>27</v>
      </c>
      <c r="F1174" s="19" t="str">
        <f t="shared" si="4"/>
        <v>Medium</v>
      </c>
      <c r="G1174" s="19">
        <v>1200000</v>
      </c>
      <c r="H1174" s="19" t="str">
        <f>IF(' BENGALURU HOUSE PRICE'!$G1174&lt;=500000,"Low",
IF(' BENGALURU HOUSE PRICE'!$G1174&lt;=1000000,"Medium",
IF(' BENGALURU HOUSE PRICE'!$G1174&lt;=3000000,"High","Luxury")))</f>
        <v>High</v>
      </c>
    </row>
    <row r="1175" spans="1:8" ht="15.75" customHeight="1" x14ac:dyDescent="0.25">
      <c r="A1175" s="19" t="s">
        <v>196</v>
      </c>
      <c r="B1175" s="19">
        <v>996</v>
      </c>
      <c r="C1175" s="19">
        <v>2</v>
      </c>
      <c r="D1175" s="19">
        <v>1</v>
      </c>
      <c r="E1175" s="23" t="s">
        <v>262</v>
      </c>
      <c r="F1175" s="19" t="str">
        <f t="shared" si="4"/>
        <v>Small</v>
      </c>
      <c r="G1175" s="19">
        <v>670000</v>
      </c>
      <c r="H1175" s="19" t="str">
        <f>IF(' BENGALURU HOUSE PRICE'!$G1175&lt;=500000,"Low",
IF(' BENGALURU HOUSE PRICE'!$G1175&lt;=1000000,"Medium",
IF(' BENGALURU HOUSE PRICE'!$G1175&lt;=3000000,"High","Luxury")))</f>
        <v>Medium</v>
      </c>
    </row>
    <row r="1176" spans="1:8" ht="15.75" customHeight="1" x14ac:dyDescent="0.25">
      <c r="A1176" s="19" t="s">
        <v>17</v>
      </c>
      <c r="B1176" s="19">
        <v>1875</v>
      </c>
      <c r="C1176" s="19">
        <v>3</v>
      </c>
      <c r="D1176" s="19">
        <v>2</v>
      </c>
      <c r="E1176" s="23" t="s">
        <v>27</v>
      </c>
      <c r="F1176" s="19" t="str">
        <f t="shared" si="4"/>
        <v>Medium</v>
      </c>
      <c r="G1176" s="19">
        <v>1100000</v>
      </c>
      <c r="H1176" s="19" t="str">
        <f>IF(' BENGALURU HOUSE PRICE'!$G1176&lt;=500000,"Low",
IF(' BENGALURU HOUSE PRICE'!$G1176&lt;=1000000,"Medium",
IF(' BENGALURU HOUSE PRICE'!$G1176&lt;=3000000,"High","Luxury")))</f>
        <v>High</v>
      </c>
    </row>
    <row r="1177" spans="1:8" ht="15.75" customHeight="1" x14ac:dyDescent="0.25">
      <c r="A1177" s="19" t="s">
        <v>246</v>
      </c>
      <c r="B1177" s="19">
        <v>1500</v>
      </c>
      <c r="C1177" s="19">
        <v>2</v>
      </c>
      <c r="D1177" s="19">
        <v>2</v>
      </c>
      <c r="E1177" s="23" t="s">
        <v>27</v>
      </c>
      <c r="F1177" s="19" t="str">
        <f t="shared" si="4"/>
        <v>Medium</v>
      </c>
      <c r="G1177" s="19">
        <v>980000</v>
      </c>
      <c r="H1177" s="19" t="str">
        <f>IF(' BENGALURU HOUSE PRICE'!$G1177&lt;=500000,"Low",
IF(' BENGALURU HOUSE PRICE'!$G1177&lt;=1000000,"Medium",
IF(' BENGALURU HOUSE PRICE'!$G1177&lt;=3000000,"High","Luxury")))</f>
        <v>Medium</v>
      </c>
    </row>
    <row r="1178" spans="1:8" ht="15.75" customHeight="1" x14ac:dyDescent="0.25">
      <c r="A1178" s="19" t="s">
        <v>132</v>
      </c>
      <c r="B1178" s="19">
        <v>3095</v>
      </c>
      <c r="C1178" s="19">
        <v>3</v>
      </c>
      <c r="D1178" s="19">
        <v>3</v>
      </c>
      <c r="E1178" s="23" t="s">
        <v>27</v>
      </c>
      <c r="F1178" s="19" t="str">
        <f t="shared" si="4"/>
        <v>Large</v>
      </c>
      <c r="G1178" s="19">
        <v>3500000</v>
      </c>
      <c r="H1178" s="19" t="str">
        <f>IF(' BENGALURU HOUSE PRICE'!$G1178&lt;=500000,"Low",
IF(' BENGALURU HOUSE PRICE'!$G1178&lt;=1000000,"Medium",
IF(' BENGALURU HOUSE PRICE'!$G1178&lt;=3000000,"High","Luxury")))</f>
        <v>Luxury</v>
      </c>
    </row>
    <row r="1179" spans="1:8" ht="15.75" customHeight="1" x14ac:dyDescent="0.25">
      <c r="A1179" s="19" t="s">
        <v>36</v>
      </c>
      <c r="B1179" s="19">
        <v>1390</v>
      </c>
      <c r="C1179" s="19">
        <v>2</v>
      </c>
      <c r="D1179" s="19">
        <v>1</v>
      </c>
      <c r="E1179" s="23" t="s">
        <v>27</v>
      </c>
      <c r="F1179" s="19" t="str">
        <f t="shared" si="4"/>
        <v>Medium</v>
      </c>
      <c r="G1179" s="19">
        <v>1750000</v>
      </c>
      <c r="H1179" s="19" t="str">
        <f>IF(' BENGALURU HOUSE PRICE'!$G1179&lt;=500000,"Low",
IF(' BENGALURU HOUSE PRICE'!$G1179&lt;=1000000,"Medium",
IF(' BENGALURU HOUSE PRICE'!$G1179&lt;=3000000,"High","Luxury")))</f>
        <v>High</v>
      </c>
    </row>
    <row r="1180" spans="1:8" ht="15.75" customHeight="1" x14ac:dyDescent="0.25">
      <c r="A1180" s="19" t="s">
        <v>26</v>
      </c>
      <c r="B1180" s="19">
        <v>1559</v>
      </c>
      <c r="C1180" s="19">
        <v>3</v>
      </c>
      <c r="D1180" s="19">
        <v>0</v>
      </c>
      <c r="E1180" s="23" t="s">
        <v>27</v>
      </c>
      <c r="F1180" s="19" t="str">
        <f t="shared" si="4"/>
        <v>Medium</v>
      </c>
      <c r="G1180" s="19">
        <v>652550</v>
      </c>
      <c r="H1180" s="19" t="str">
        <f>IF(' BENGALURU HOUSE PRICE'!$G1180&lt;=500000,"Low",
IF(' BENGALURU HOUSE PRICE'!$G1180&lt;=1000000,"Medium",
IF(' BENGALURU HOUSE PRICE'!$G1180&lt;=3000000,"High","Luxury")))</f>
        <v>Medium</v>
      </c>
    </row>
    <row r="1181" spans="1:8" ht="15.75" customHeight="1" x14ac:dyDescent="0.25">
      <c r="A1181" s="19" t="s">
        <v>26</v>
      </c>
      <c r="B1181" s="19">
        <v>697</v>
      </c>
      <c r="C1181" s="19">
        <v>1</v>
      </c>
      <c r="D1181" s="19">
        <v>0</v>
      </c>
      <c r="E1181" s="23" t="s">
        <v>267</v>
      </c>
      <c r="F1181" s="19" t="str">
        <f t="shared" si="4"/>
        <v>Small</v>
      </c>
      <c r="G1181" s="19">
        <v>450000</v>
      </c>
      <c r="H1181" s="19" t="str">
        <f>IF(' BENGALURU HOUSE PRICE'!$G1181&lt;=500000,"Low",
IF(' BENGALURU HOUSE PRICE'!$G1181&lt;=1000000,"Medium",
IF(' BENGALURU HOUSE PRICE'!$G1181&lt;=3000000,"High","Luxury")))</f>
        <v>Low</v>
      </c>
    </row>
    <row r="1182" spans="1:8" ht="15.75" customHeight="1" x14ac:dyDescent="0.25">
      <c r="A1182" s="19" t="s">
        <v>22</v>
      </c>
      <c r="B1182" s="19">
        <v>710</v>
      </c>
      <c r="C1182" s="19">
        <v>1</v>
      </c>
      <c r="D1182" s="19">
        <v>1</v>
      </c>
      <c r="E1182" s="23" t="s">
        <v>267</v>
      </c>
      <c r="F1182" s="19" t="str">
        <f t="shared" si="4"/>
        <v>Small</v>
      </c>
      <c r="G1182" s="19">
        <v>270000</v>
      </c>
      <c r="H1182" s="19" t="str">
        <f>IF(' BENGALURU HOUSE PRICE'!$G1182&lt;=500000,"Low",
IF(' BENGALURU HOUSE PRICE'!$G1182&lt;=1000000,"Medium",
IF(' BENGALURU HOUSE PRICE'!$G1182&lt;=3000000,"High","Luxury")))</f>
        <v>Low</v>
      </c>
    </row>
    <row r="1183" spans="1:8" ht="15.75" customHeight="1" x14ac:dyDescent="0.25">
      <c r="A1183" s="19" t="s">
        <v>473</v>
      </c>
      <c r="B1183" s="19">
        <v>910</v>
      </c>
      <c r="C1183" s="19">
        <v>2</v>
      </c>
      <c r="D1183" s="19">
        <v>1</v>
      </c>
      <c r="E1183" s="23" t="s">
        <v>262</v>
      </c>
      <c r="F1183" s="19" t="str">
        <f t="shared" si="4"/>
        <v>Small</v>
      </c>
      <c r="G1183" s="19">
        <v>305000</v>
      </c>
      <c r="H1183" s="19" t="str">
        <f>IF(' BENGALURU HOUSE PRICE'!$G1183&lt;=500000,"Low",
IF(' BENGALURU HOUSE PRICE'!$G1183&lt;=1000000,"Medium",
IF(' BENGALURU HOUSE PRICE'!$G1183&lt;=3000000,"High","Luxury")))</f>
        <v>Low</v>
      </c>
    </row>
    <row r="1184" spans="1:8" ht="15.75" customHeight="1" x14ac:dyDescent="0.25">
      <c r="A1184" s="19" t="s">
        <v>219</v>
      </c>
      <c r="B1184" s="19">
        <v>1025</v>
      </c>
      <c r="C1184" s="19">
        <v>2</v>
      </c>
      <c r="D1184" s="19">
        <v>1</v>
      </c>
      <c r="E1184" s="23" t="s">
        <v>27</v>
      </c>
      <c r="F1184" s="19" t="str">
        <f t="shared" si="4"/>
        <v>Medium</v>
      </c>
      <c r="G1184" s="19">
        <v>480000</v>
      </c>
      <c r="H1184" s="19" t="str">
        <f>IF(' BENGALURU HOUSE PRICE'!$G1184&lt;=500000,"Low",
IF(' BENGALURU HOUSE PRICE'!$G1184&lt;=1000000,"Medium",
IF(' BENGALURU HOUSE PRICE'!$G1184&lt;=3000000,"High","Luxury")))</f>
        <v>Low</v>
      </c>
    </row>
    <row r="1185" spans="1:8" ht="15.75" customHeight="1" x14ac:dyDescent="0.25">
      <c r="A1185" s="19" t="s">
        <v>168</v>
      </c>
      <c r="B1185" s="19">
        <v>1559</v>
      </c>
      <c r="C1185" s="19">
        <v>2</v>
      </c>
      <c r="D1185" s="19">
        <v>0</v>
      </c>
      <c r="E1185" s="23" t="s">
        <v>262</v>
      </c>
      <c r="F1185" s="19" t="str">
        <f t="shared" si="4"/>
        <v>Medium</v>
      </c>
      <c r="G1185" s="19">
        <v>465000</v>
      </c>
      <c r="H1185" s="19" t="str">
        <f>IF(' BENGALURU HOUSE PRICE'!$G1185&lt;=500000,"Low",
IF(' BENGALURU HOUSE PRICE'!$G1185&lt;=1000000,"Medium",
IF(' BENGALURU HOUSE PRICE'!$G1185&lt;=3000000,"High","Luxury")))</f>
        <v>Low</v>
      </c>
    </row>
    <row r="1186" spans="1:8" ht="15.75" customHeight="1" x14ac:dyDescent="0.25">
      <c r="A1186" s="19" t="s">
        <v>108</v>
      </c>
      <c r="B1186" s="19">
        <v>1200</v>
      </c>
      <c r="C1186" s="19">
        <v>4</v>
      </c>
      <c r="D1186" s="19">
        <v>2</v>
      </c>
      <c r="E1186" s="23" t="s">
        <v>264</v>
      </c>
      <c r="F1186" s="19" t="str">
        <f t="shared" si="4"/>
        <v>Medium</v>
      </c>
      <c r="G1186" s="19">
        <v>2440000</v>
      </c>
      <c r="H1186" s="19" t="str">
        <f>IF(' BENGALURU HOUSE PRICE'!$G1186&lt;=500000,"Low",
IF(' BENGALURU HOUSE PRICE'!$G1186&lt;=1000000,"Medium",
IF(' BENGALURU HOUSE PRICE'!$G1186&lt;=3000000,"High","Luxury")))</f>
        <v>High</v>
      </c>
    </row>
    <row r="1187" spans="1:8" ht="15.75" customHeight="1" x14ac:dyDescent="0.25">
      <c r="A1187" s="19" t="s">
        <v>115</v>
      </c>
      <c r="B1187" s="19">
        <v>1453</v>
      </c>
      <c r="C1187" s="19">
        <v>2</v>
      </c>
      <c r="D1187" s="19">
        <v>1</v>
      </c>
      <c r="E1187" s="23" t="s">
        <v>27</v>
      </c>
      <c r="F1187" s="19" t="str">
        <f t="shared" si="4"/>
        <v>Medium</v>
      </c>
      <c r="G1187" s="19">
        <v>464800</v>
      </c>
      <c r="H1187" s="19" t="str">
        <f>IF(' BENGALURU HOUSE PRICE'!$G1187&lt;=500000,"Low",
IF(' BENGALURU HOUSE PRICE'!$G1187&lt;=1000000,"Medium",
IF(' BENGALURU HOUSE PRICE'!$G1187&lt;=3000000,"High","Luxury")))</f>
        <v>Low</v>
      </c>
    </row>
    <row r="1188" spans="1:8" ht="15.75" customHeight="1" x14ac:dyDescent="0.25">
      <c r="A1188" s="19" t="s">
        <v>22</v>
      </c>
      <c r="B1188" s="19">
        <v>3335</v>
      </c>
      <c r="C1188" s="19">
        <v>5</v>
      </c>
      <c r="D1188" s="19">
        <v>2</v>
      </c>
      <c r="E1188" s="23" t="s">
        <v>264</v>
      </c>
      <c r="F1188" s="19" t="str">
        <f t="shared" si="4"/>
        <v>Large</v>
      </c>
      <c r="G1188" s="19">
        <v>3000000</v>
      </c>
      <c r="H1188" s="19" t="str">
        <f>IF(' BENGALURU HOUSE PRICE'!$G1188&lt;=500000,"Low",
IF(' BENGALURU HOUSE PRICE'!$G1188&lt;=1000000,"Medium",
IF(' BENGALURU HOUSE PRICE'!$G1188&lt;=3000000,"High","Luxury")))</f>
        <v>High</v>
      </c>
    </row>
    <row r="1189" spans="1:8" ht="15.75" customHeight="1" x14ac:dyDescent="0.25">
      <c r="A1189" s="19" t="s">
        <v>23</v>
      </c>
      <c r="B1189" s="19">
        <v>1559</v>
      </c>
      <c r="C1189" s="19">
        <v>2</v>
      </c>
      <c r="D1189" s="19">
        <v>0</v>
      </c>
      <c r="E1189" s="23" t="s">
        <v>262</v>
      </c>
      <c r="F1189" s="19" t="str">
        <f t="shared" si="4"/>
        <v>Medium</v>
      </c>
      <c r="G1189" s="19">
        <v>364350</v>
      </c>
      <c r="H1189" s="19" t="str">
        <f>IF(' BENGALURU HOUSE PRICE'!$G1189&lt;=500000,"Low",
IF(' BENGALURU HOUSE PRICE'!$G1189&lt;=1000000,"Medium",
IF(' BENGALURU HOUSE PRICE'!$G1189&lt;=3000000,"High","Luxury")))</f>
        <v>Low</v>
      </c>
    </row>
    <row r="1190" spans="1:8" ht="15.75" customHeight="1" x14ac:dyDescent="0.25">
      <c r="A1190" s="19" t="s">
        <v>59</v>
      </c>
      <c r="B1190" s="19">
        <v>1281</v>
      </c>
      <c r="C1190" s="19">
        <v>2</v>
      </c>
      <c r="D1190" s="19">
        <v>1</v>
      </c>
      <c r="E1190" s="23" t="s">
        <v>262</v>
      </c>
      <c r="F1190" s="19" t="str">
        <f t="shared" si="4"/>
        <v>Medium</v>
      </c>
      <c r="G1190" s="19">
        <v>740000</v>
      </c>
      <c r="H1190" s="19" t="str">
        <f>IF(' BENGALURU HOUSE PRICE'!$G1190&lt;=500000,"Low",
IF(' BENGALURU HOUSE PRICE'!$G1190&lt;=1000000,"Medium",
IF(' BENGALURU HOUSE PRICE'!$G1190&lt;=3000000,"High","Luxury")))</f>
        <v>Medium</v>
      </c>
    </row>
    <row r="1191" spans="1:8" ht="15.75" customHeight="1" x14ac:dyDescent="0.25">
      <c r="A1191" s="19" t="s">
        <v>474</v>
      </c>
      <c r="B1191" s="19">
        <v>565</v>
      </c>
      <c r="C1191" s="19">
        <v>1</v>
      </c>
      <c r="D1191" s="19">
        <v>1</v>
      </c>
      <c r="E1191" s="23" t="s">
        <v>267</v>
      </c>
      <c r="F1191" s="19" t="str">
        <f t="shared" si="4"/>
        <v>Small</v>
      </c>
      <c r="G1191" s="19">
        <v>350000</v>
      </c>
      <c r="H1191" s="19" t="str">
        <f>IF(' BENGALURU HOUSE PRICE'!$G1191&lt;=500000,"Low",
IF(' BENGALURU HOUSE PRICE'!$G1191&lt;=1000000,"Medium",
IF(' BENGALURU HOUSE PRICE'!$G1191&lt;=3000000,"High","Luxury")))</f>
        <v>Low</v>
      </c>
    </row>
    <row r="1192" spans="1:8" ht="15.75" customHeight="1" x14ac:dyDescent="0.25">
      <c r="A1192" s="19" t="s">
        <v>240</v>
      </c>
      <c r="B1192" s="19">
        <v>1024</v>
      </c>
      <c r="C1192" s="19">
        <v>2</v>
      </c>
      <c r="D1192" s="19">
        <v>2</v>
      </c>
      <c r="E1192" s="23" t="s">
        <v>262</v>
      </c>
      <c r="F1192" s="19" t="str">
        <f t="shared" si="4"/>
        <v>Medium</v>
      </c>
      <c r="G1192" s="19">
        <v>420000</v>
      </c>
      <c r="H1192" s="19" t="str">
        <f>IF(' BENGALURU HOUSE PRICE'!$G1192&lt;=500000,"Low",
IF(' BENGALURU HOUSE PRICE'!$G1192&lt;=1000000,"Medium",
IF(' BENGALURU HOUSE PRICE'!$G1192&lt;=3000000,"High","Luxury")))</f>
        <v>Low</v>
      </c>
    </row>
    <row r="1193" spans="1:8" ht="15.75" customHeight="1" x14ac:dyDescent="0.25">
      <c r="A1193" s="19" t="s">
        <v>16</v>
      </c>
      <c r="B1193" s="19">
        <v>1620</v>
      </c>
      <c r="C1193" s="19">
        <v>3</v>
      </c>
      <c r="D1193" s="19">
        <v>2</v>
      </c>
      <c r="E1193" s="23" t="s">
        <v>27</v>
      </c>
      <c r="F1193" s="19" t="str">
        <f t="shared" si="4"/>
        <v>Medium</v>
      </c>
      <c r="G1193" s="19">
        <v>620000</v>
      </c>
      <c r="H1193" s="19" t="str">
        <f>IF(' BENGALURU HOUSE PRICE'!$G1193&lt;=500000,"Low",
IF(' BENGALURU HOUSE PRICE'!$G1193&lt;=1000000,"Medium",
IF(' BENGALURU HOUSE PRICE'!$G1193&lt;=3000000,"High","Luxury")))</f>
        <v>Medium</v>
      </c>
    </row>
    <row r="1194" spans="1:8" ht="15.75" customHeight="1" x14ac:dyDescent="0.25">
      <c r="A1194" s="19" t="s">
        <v>25</v>
      </c>
      <c r="B1194" s="19">
        <v>1254</v>
      </c>
      <c r="C1194" s="19">
        <v>2</v>
      </c>
      <c r="D1194" s="19">
        <v>2</v>
      </c>
      <c r="E1194" s="23" t="s">
        <v>262</v>
      </c>
      <c r="F1194" s="19" t="str">
        <f t="shared" si="4"/>
        <v>Medium</v>
      </c>
      <c r="G1194" s="19">
        <v>400000</v>
      </c>
      <c r="H1194" s="19" t="str">
        <f>IF(' BENGALURU HOUSE PRICE'!$G1194&lt;=500000,"Low",
IF(' BENGALURU HOUSE PRICE'!$G1194&lt;=1000000,"Medium",
IF(' BENGALURU HOUSE PRICE'!$G1194&lt;=3000000,"High","Luxury")))</f>
        <v>Low</v>
      </c>
    </row>
    <row r="1195" spans="1:8" ht="15.75" customHeight="1" x14ac:dyDescent="0.25">
      <c r="A1195" s="19" t="s">
        <v>48</v>
      </c>
      <c r="B1195" s="19">
        <v>1300</v>
      </c>
      <c r="C1195" s="19">
        <v>2</v>
      </c>
      <c r="D1195" s="19">
        <v>2</v>
      </c>
      <c r="E1195" s="23" t="s">
        <v>27</v>
      </c>
      <c r="F1195" s="19" t="str">
        <f t="shared" si="4"/>
        <v>Medium</v>
      </c>
      <c r="G1195" s="19">
        <v>750000</v>
      </c>
      <c r="H1195" s="19" t="str">
        <f>IF(' BENGALURU HOUSE PRICE'!$G1195&lt;=500000,"Low",
IF(' BENGALURU HOUSE PRICE'!$G1195&lt;=1000000,"Medium",
IF(' BENGALURU HOUSE PRICE'!$G1195&lt;=3000000,"High","Luxury")))</f>
        <v>Medium</v>
      </c>
    </row>
    <row r="1196" spans="1:8" ht="15.75" customHeight="1" x14ac:dyDescent="0.25">
      <c r="A1196" s="19" t="s">
        <v>475</v>
      </c>
      <c r="B1196" s="19">
        <v>1233</v>
      </c>
      <c r="C1196" s="19">
        <v>2</v>
      </c>
      <c r="D1196" s="19">
        <v>2</v>
      </c>
      <c r="E1196" s="23" t="s">
        <v>262</v>
      </c>
      <c r="F1196" s="19" t="str">
        <f t="shared" si="4"/>
        <v>Medium</v>
      </c>
      <c r="G1196" s="19">
        <v>430000</v>
      </c>
      <c r="H1196" s="19" t="str">
        <f>IF(' BENGALURU HOUSE PRICE'!$G1196&lt;=500000,"Low",
IF(' BENGALURU HOUSE PRICE'!$G1196&lt;=1000000,"Medium",
IF(' BENGALURU HOUSE PRICE'!$G1196&lt;=3000000,"High","Luxury")))</f>
        <v>Low</v>
      </c>
    </row>
    <row r="1197" spans="1:8" ht="15.75" customHeight="1" x14ac:dyDescent="0.25">
      <c r="A1197" s="19" t="s">
        <v>476</v>
      </c>
      <c r="B1197" s="19">
        <v>1200</v>
      </c>
      <c r="C1197" s="19">
        <v>1</v>
      </c>
      <c r="D1197" s="19">
        <v>1</v>
      </c>
      <c r="E1197" s="23" t="s">
        <v>267</v>
      </c>
      <c r="F1197" s="19" t="str">
        <f t="shared" si="4"/>
        <v>Medium</v>
      </c>
      <c r="G1197" s="19">
        <v>280000</v>
      </c>
      <c r="H1197" s="19" t="str">
        <f>IF(' BENGALURU HOUSE PRICE'!$G1197&lt;=500000,"Low",
IF(' BENGALURU HOUSE PRICE'!$G1197&lt;=1000000,"Medium",
IF(' BENGALURU HOUSE PRICE'!$G1197&lt;=3000000,"High","Luxury")))</f>
        <v>Low</v>
      </c>
    </row>
    <row r="1198" spans="1:8" ht="15.75" customHeight="1" x14ac:dyDescent="0.25">
      <c r="A1198" s="19" t="s">
        <v>120</v>
      </c>
      <c r="B1198" s="19">
        <v>1510</v>
      </c>
      <c r="C1198" s="19">
        <v>2</v>
      </c>
      <c r="D1198" s="19">
        <v>1</v>
      </c>
      <c r="E1198" s="23" t="s">
        <v>27</v>
      </c>
      <c r="F1198" s="19" t="str">
        <f t="shared" si="4"/>
        <v>Medium</v>
      </c>
      <c r="G1198" s="19">
        <v>1050000</v>
      </c>
      <c r="H1198" s="19" t="str">
        <f>IF(' BENGALURU HOUSE PRICE'!$G1198&lt;=500000,"Low",
IF(' BENGALURU HOUSE PRICE'!$G1198&lt;=1000000,"Medium",
IF(' BENGALURU HOUSE PRICE'!$G1198&lt;=3000000,"High","Luxury")))</f>
        <v>High</v>
      </c>
    </row>
    <row r="1199" spans="1:8" ht="15.75" customHeight="1" x14ac:dyDescent="0.25">
      <c r="A1199" s="19" t="s">
        <v>138</v>
      </c>
      <c r="B1199" s="19">
        <v>950</v>
      </c>
      <c r="C1199" s="19">
        <v>2</v>
      </c>
      <c r="D1199" s="19">
        <v>1</v>
      </c>
      <c r="E1199" s="23" t="s">
        <v>262</v>
      </c>
      <c r="F1199" s="19" t="str">
        <f t="shared" si="4"/>
        <v>Small</v>
      </c>
      <c r="G1199" s="19">
        <v>650000</v>
      </c>
      <c r="H1199" s="19" t="str">
        <f>IF(' BENGALURU HOUSE PRICE'!$G1199&lt;=500000,"Low",
IF(' BENGALURU HOUSE PRICE'!$G1199&lt;=1000000,"Medium",
IF(' BENGALURU HOUSE PRICE'!$G1199&lt;=3000000,"High","Luxury")))</f>
        <v>Medium</v>
      </c>
    </row>
    <row r="1200" spans="1:8" ht="15.75" customHeight="1" x14ac:dyDescent="0.25">
      <c r="A1200" s="19" t="s">
        <v>57</v>
      </c>
      <c r="B1200" s="19">
        <v>1945</v>
      </c>
      <c r="C1200" s="19">
        <v>3</v>
      </c>
      <c r="D1200" s="19">
        <v>2</v>
      </c>
      <c r="E1200" s="23" t="s">
        <v>27</v>
      </c>
      <c r="F1200" s="19" t="str">
        <f t="shared" si="4"/>
        <v>Medium</v>
      </c>
      <c r="G1200" s="19">
        <v>974200</v>
      </c>
      <c r="H1200" s="19" t="str">
        <f>IF(' BENGALURU HOUSE PRICE'!$G1200&lt;=500000,"Low",
IF(' BENGALURU HOUSE PRICE'!$G1200&lt;=1000000,"Medium",
IF(' BENGALURU HOUSE PRICE'!$G1200&lt;=3000000,"High","Luxury")))</f>
        <v>Medium</v>
      </c>
    </row>
    <row r="1201" spans="1:8" ht="15.75" customHeight="1" x14ac:dyDescent="0.25">
      <c r="A1201" s="19" t="s">
        <v>24</v>
      </c>
      <c r="B1201" s="19">
        <v>1008</v>
      </c>
      <c r="C1201" s="19">
        <v>2</v>
      </c>
      <c r="D1201" s="19">
        <v>3</v>
      </c>
      <c r="E1201" s="23" t="s">
        <v>262</v>
      </c>
      <c r="F1201" s="19" t="str">
        <f t="shared" si="4"/>
        <v>Medium</v>
      </c>
      <c r="G1201" s="19">
        <v>450000</v>
      </c>
      <c r="H1201" s="19" t="str">
        <f>IF(' BENGALURU HOUSE PRICE'!$G1201&lt;=500000,"Low",
IF(' BENGALURU HOUSE PRICE'!$G1201&lt;=1000000,"Medium",
IF(' BENGALURU HOUSE PRICE'!$G1201&lt;=3000000,"High","Luxury")))</f>
        <v>Low</v>
      </c>
    </row>
    <row r="1202" spans="1:8" ht="15.75" customHeight="1" x14ac:dyDescent="0.25">
      <c r="A1202" s="19" t="s">
        <v>23</v>
      </c>
      <c r="B1202" s="19">
        <v>1265</v>
      </c>
      <c r="C1202" s="19">
        <v>2</v>
      </c>
      <c r="D1202" s="19">
        <v>1</v>
      </c>
      <c r="E1202" s="23" t="s">
        <v>27</v>
      </c>
      <c r="F1202" s="19" t="str">
        <f t="shared" si="4"/>
        <v>Medium</v>
      </c>
      <c r="G1202" s="19">
        <v>790000</v>
      </c>
      <c r="H1202" s="19" t="str">
        <f>IF(' BENGALURU HOUSE PRICE'!$G1202&lt;=500000,"Low",
IF(' BENGALURU HOUSE PRICE'!$G1202&lt;=1000000,"Medium",
IF(' BENGALURU HOUSE PRICE'!$G1202&lt;=3000000,"High","Luxury")))</f>
        <v>Medium</v>
      </c>
    </row>
    <row r="1203" spans="1:8" ht="15.75" customHeight="1" x14ac:dyDescent="0.25">
      <c r="A1203" s="19" t="s">
        <v>18</v>
      </c>
      <c r="B1203" s="19">
        <v>1255</v>
      </c>
      <c r="C1203" s="19">
        <v>2</v>
      </c>
      <c r="D1203" s="19">
        <v>1</v>
      </c>
      <c r="E1203" s="23" t="s">
        <v>27</v>
      </c>
      <c r="F1203" s="19" t="str">
        <f t="shared" si="4"/>
        <v>Medium</v>
      </c>
      <c r="G1203" s="19">
        <v>776800</v>
      </c>
      <c r="H1203" s="19" t="str">
        <f>IF(' BENGALURU HOUSE PRICE'!$G1203&lt;=500000,"Low",
IF(' BENGALURU HOUSE PRICE'!$G1203&lt;=1000000,"Medium",
IF(' BENGALURU HOUSE PRICE'!$G1203&lt;=3000000,"High","Luxury")))</f>
        <v>Medium</v>
      </c>
    </row>
    <row r="1204" spans="1:8" ht="15.75" customHeight="1" x14ac:dyDescent="0.25">
      <c r="A1204" s="19" t="s">
        <v>19</v>
      </c>
      <c r="B1204" s="19">
        <v>2689</v>
      </c>
      <c r="C1204" s="19">
        <v>6</v>
      </c>
      <c r="D1204" s="19">
        <v>2</v>
      </c>
      <c r="E1204" s="23" t="s">
        <v>264</v>
      </c>
      <c r="F1204" s="19" t="str">
        <f t="shared" si="4"/>
        <v>Large</v>
      </c>
      <c r="G1204" s="19">
        <v>2200000</v>
      </c>
      <c r="H1204" s="19" t="str">
        <f>IF(' BENGALURU HOUSE PRICE'!$G1204&lt;=500000,"Low",
IF(' BENGALURU HOUSE PRICE'!$G1204&lt;=1000000,"Medium",
IF(' BENGALURU HOUSE PRICE'!$G1204&lt;=3000000,"High","Luxury")))</f>
        <v>High</v>
      </c>
    </row>
    <row r="1205" spans="1:8" ht="15.75" customHeight="1" x14ac:dyDescent="0.25">
      <c r="A1205" s="19" t="s">
        <v>347</v>
      </c>
      <c r="B1205" s="19">
        <v>1200</v>
      </c>
      <c r="C1205" s="19">
        <v>2</v>
      </c>
      <c r="D1205" s="19">
        <v>2</v>
      </c>
      <c r="E1205" s="23" t="s">
        <v>262</v>
      </c>
      <c r="F1205" s="19" t="str">
        <f t="shared" si="4"/>
        <v>Medium</v>
      </c>
      <c r="G1205" s="19">
        <v>461700</v>
      </c>
      <c r="H1205" s="19" t="str">
        <f>IF(' BENGALURU HOUSE PRICE'!$G1205&lt;=500000,"Low",
IF(' BENGALURU HOUSE PRICE'!$G1205&lt;=1000000,"Medium",
IF(' BENGALURU HOUSE PRICE'!$G1205&lt;=3000000,"High","Luxury")))</f>
        <v>Low</v>
      </c>
    </row>
    <row r="1206" spans="1:8" ht="15.75" customHeight="1" x14ac:dyDescent="0.25">
      <c r="A1206" s="19" t="s">
        <v>22</v>
      </c>
      <c r="B1206" s="19">
        <v>1403</v>
      </c>
      <c r="C1206" s="19">
        <v>3</v>
      </c>
      <c r="D1206" s="19">
        <v>3</v>
      </c>
      <c r="E1206" s="23" t="s">
        <v>27</v>
      </c>
      <c r="F1206" s="19" t="str">
        <f t="shared" si="4"/>
        <v>Medium</v>
      </c>
      <c r="G1206" s="19">
        <v>516300</v>
      </c>
      <c r="H1206" s="19" t="str">
        <f>IF(' BENGALURU HOUSE PRICE'!$G1206&lt;=500000,"Low",
IF(' BENGALURU HOUSE PRICE'!$G1206&lt;=1000000,"Medium",
IF(' BENGALURU HOUSE PRICE'!$G1206&lt;=3000000,"High","Luxury")))</f>
        <v>Medium</v>
      </c>
    </row>
    <row r="1207" spans="1:8" ht="15.75" customHeight="1" x14ac:dyDescent="0.25">
      <c r="A1207" s="19" t="s">
        <v>160</v>
      </c>
      <c r="B1207" s="19">
        <v>1535</v>
      </c>
      <c r="C1207" s="19">
        <v>3</v>
      </c>
      <c r="D1207" s="19">
        <v>2</v>
      </c>
      <c r="E1207" s="23" t="s">
        <v>27</v>
      </c>
      <c r="F1207" s="19" t="str">
        <f t="shared" si="4"/>
        <v>Medium</v>
      </c>
      <c r="G1207" s="19">
        <v>850000</v>
      </c>
      <c r="H1207" s="19" t="str">
        <f>IF(' BENGALURU HOUSE PRICE'!$G1207&lt;=500000,"Low",
IF(' BENGALURU HOUSE PRICE'!$G1207&lt;=1000000,"Medium",
IF(' BENGALURU HOUSE PRICE'!$G1207&lt;=3000000,"High","Luxury")))</f>
        <v>Medium</v>
      </c>
    </row>
    <row r="1208" spans="1:8" ht="15.75" customHeight="1" x14ac:dyDescent="0.25">
      <c r="A1208" s="19" t="s">
        <v>77</v>
      </c>
      <c r="B1208" s="19">
        <v>1500</v>
      </c>
      <c r="C1208" s="19">
        <v>3</v>
      </c>
      <c r="D1208" s="19">
        <v>3</v>
      </c>
      <c r="E1208" s="23" t="s">
        <v>27</v>
      </c>
      <c r="F1208" s="19" t="str">
        <f t="shared" si="4"/>
        <v>Medium</v>
      </c>
      <c r="G1208" s="19">
        <v>1000000</v>
      </c>
      <c r="H1208" s="19" t="str">
        <f>IF(' BENGALURU HOUSE PRICE'!$G1208&lt;=500000,"Low",
IF(' BENGALURU HOUSE PRICE'!$G1208&lt;=1000000,"Medium",
IF(' BENGALURU HOUSE PRICE'!$G1208&lt;=3000000,"High","Luxury")))</f>
        <v>Medium</v>
      </c>
    </row>
    <row r="1209" spans="1:8" ht="15.75" customHeight="1" x14ac:dyDescent="0.25">
      <c r="A1209" s="19" t="s">
        <v>73</v>
      </c>
      <c r="B1209" s="19">
        <v>1475</v>
      </c>
      <c r="C1209" s="19">
        <v>2</v>
      </c>
      <c r="D1209" s="19">
        <v>2</v>
      </c>
      <c r="E1209" s="23" t="s">
        <v>27</v>
      </c>
      <c r="F1209" s="19" t="str">
        <f t="shared" si="4"/>
        <v>Medium</v>
      </c>
      <c r="G1209" s="19">
        <v>1200000</v>
      </c>
      <c r="H1209" s="19" t="str">
        <f>IF(' BENGALURU HOUSE PRICE'!$G1209&lt;=500000,"Low",
IF(' BENGALURU HOUSE PRICE'!$G1209&lt;=1000000,"Medium",
IF(' BENGALURU HOUSE PRICE'!$G1209&lt;=3000000,"High","Luxury")))</f>
        <v>High</v>
      </c>
    </row>
    <row r="1210" spans="1:8" ht="15.75" customHeight="1" x14ac:dyDescent="0.25">
      <c r="A1210" s="19" t="s">
        <v>24</v>
      </c>
      <c r="B1210" s="19">
        <v>1390</v>
      </c>
      <c r="C1210" s="19">
        <v>2</v>
      </c>
      <c r="D1210" s="19">
        <v>2</v>
      </c>
      <c r="E1210" s="23" t="s">
        <v>27</v>
      </c>
      <c r="F1210" s="19" t="str">
        <f t="shared" si="4"/>
        <v>Medium</v>
      </c>
      <c r="G1210" s="19">
        <v>604700</v>
      </c>
      <c r="H1210" s="19" t="str">
        <f>IF(' BENGALURU HOUSE PRICE'!$G1210&lt;=500000,"Low",
IF(' BENGALURU HOUSE PRICE'!$G1210&lt;=1000000,"Medium",
IF(' BENGALURU HOUSE PRICE'!$G1210&lt;=3000000,"High","Luxury")))</f>
        <v>Medium</v>
      </c>
    </row>
    <row r="1211" spans="1:8" ht="15.75" customHeight="1" x14ac:dyDescent="0.25">
      <c r="A1211" s="19" t="s">
        <v>21</v>
      </c>
      <c r="B1211" s="19">
        <v>1278</v>
      </c>
      <c r="C1211" s="19">
        <v>2</v>
      </c>
      <c r="D1211" s="19">
        <v>1</v>
      </c>
      <c r="E1211" s="23" t="s">
        <v>27</v>
      </c>
      <c r="F1211" s="19" t="str">
        <f t="shared" si="4"/>
        <v>Medium</v>
      </c>
      <c r="G1211" s="19">
        <v>537600</v>
      </c>
      <c r="H1211" s="19" t="str">
        <f>IF(' BENGALURU HOUSE PRICE'!$G1211&lt;=500000,"Low",
IF(' BENGALURU HOUSE PRICE'!$G1211&lt;=1000000,"Medium",
IF(' BENGALURU HOUSE PRICE'!$G1211&lt;=3000000,"High","Luxury")))</f>
        <v>Medium</v>
      </c>
    </row>
    <row r="1212" spans="1:8" ht="15.75" customHeight="1" x14ac:dyDescent="0.25">
      <c r="A1212" s="19" t="s">
        <v>477</v>
      </c>
      <c r="B1212" s="19">
        <v>1133</v>
      </c>
      <c r="C1212" s="19">
        <v>2</v>
      </c>
      <c r="D1212" s="19">
        <v>2</v>
      </c>
      <c r="E1212" s="23" t="s">
        <v>262</v>
      </c>
      <c r="F1212" s="19" t="str">
        <f t="shared" si="4"/>
        <v>Medium</v>
      </c>
      <c r="G1212" s="19">
        <v>550000</v>
      </c>
      <c r="H1212" s="19" t="str">
        <f>IF(' BENGALURU HOUSE PRICE'!$G1212&lt;=500000,"Low",
IF(' BENGALURU HOUSE PRICE'!$G1212&lt;=1000000,"Medium",
IF(' BENGALURU HOUSE PRICE'!$G1212&lt;=3000000,"High","Luxury")))</f>
        <v>Medium</v>
      </c>
    </row>
    <row r="1213" spans="1:8" ht="15.75" customHeight="1" x14ac:dyDescent="0.25">
      <c r="A1213" s="19" t="s">
        <v>478</v>
      </c>
      <c r="B1213" s="19">
        <v>1560</v>
      </c>
      <c r="C1213" s="19">
        <v>5</v>
      </c>
      <c r="D1213" s="19">
        <v>1</v>
      </c>
      <c r="E1213" s="23" t="s">
        <v>292</v>
      </c>
      <c r="F1213" s="19" t="str">
        <f t="shared" si="4"/>
        <v>Medium</v>
      </c>
      <c r="G1213" s="19">
        <v>1450000</v>
      </c>
      <c r="H1213" s="19" t="str">
        <f>IF(' BENGALURU HOUSE PRICE'!$G1213&lt;=500000,"Low",
IF(' BENGALURU HOUSE PRICE'!$G1213&lt;=1000000,"Medium",
IF(' BENGALURU HOUSE PRICE'!$G1213&lt;=3000000,"High","Luxury")))</f>
        <v>High</v>
      </c>
    </row>
    <row r="1214" spans="1:8" ht="15.75" customHeight="1" x14ac:dyDescent="0.25">
      <c r="A1214" s="19" t="s">
        <v>479</v>
      </c>
      <c r="B1214" s="19">
        <v>2900</v>
      </c>
      <c r="C1214" s="19">
        <v>5</v>
      </c>
      <c r="D1214" s="19">
        <v>2</v>
      </c>
      <c r="E1214" s="23" t="s">
        <v>292</v>
      </c>
      <c r="F1214" s="19" t="str">
        <f t="shared" si="4"/>
        <v>Large</v>
      </c>
      <c r="G1214" s="19">
        <v>900000</v>
      </c>
      <c r="H1214" s="19" t="str">
        <f>IF(' BENGALURU HOUSE PRICE'!$G1214&lt;=500000,"Low",
IF(' BENGALURU HOUSE PRICE'!$G1214&lt;=1000000,"Medium",
IF(' BENGALURU HOUSE PRICE'!$G1214&lt;=3000000,"High","Luxury")))</f>
        <v>Medium</v>
      </c>
    </row>
    <row r="1215" spans="1:8" ht="15.75" customHeight="1" x14ac:dyDescent="0.25">
      <c r="A1215" s="19" t="s">
        <v>155</v>
      </c>
      <c r="B1215" s="19">
        <v>1170</v>
      </c>
      <c r="C1215" s="19">
        <v>2</v>
      </c>
      <c r="D1215" s="19">
        <v>1</v>
      </c>
      <c r="E1215" s="23" t="s">
        <v>262</v>
      </c>
      <c r="F1215" s="19" t="str">
        <f t="shared" si="4"/>
        <v>Medium</v>
      </c>
      <c r="G1215" s="19">
        <v>519900</v>
      </c>
      <c r="H1215" s="19" t="str">
        <f>IF(' BENGALURU HOUSE PRICE'!$G1215&lt;=500000,"Low",
IF(' BENGALURU HOUSE PRICE'!$G1215&lt;=1000000,"Medium",
IF(' BENGALURU HOUSE PRICE'!$G1215&lt;=3000000,"High","Luxury")))</f>
        <v>Medium</v>
      </c>
    </row>
    <row r="1216" spans="1:8" ht="15.75" customHeight="1" x14ac:dyDescent="0.25">
      <c r="A1216" s="19" t="s">
        <v>207</v>
      </c>
      <c r="B1216" s="19">
        <v>1200</v>
      </c>
      <c r="C1216" s="19">
        <v>3</v>
      </c>
      <c r="D1216" s="19">
        <v>3</v>
      </c>
      <c r="E1216" s="23" t="s">
        <v>27</v>
      </c>
      <c r="F1216" s="19" t="str">
        <f t="shared" si="4"/>
        <v>Medium</v>
      </c>
      <c r="G1216" s="19">
        <v>2000000</v>
      </c>
      <c r="H1216" s="19" t="str">
        <f>IF(' BENGALURU HOUSE PRICE'!$G1216&lt;=500000,"Low",
IF(' BENGALURU HOUSE PRICE'!$G1216&lt;=1000000,"Medium",
IF(' BENGALURU HOUSE PRICE'!$G1216&lt;=3000000,"High","Luxury")))</f>
        <v>High</v>
      </c>
    </row>
    <row r="1217" spans="1:8" ht="15.75" customHeight="1" x14ac:dyDescent="0.25">
      <c r="A1217" s="19" t="s">
        <v>25</v>
      </c>
      <c r="B1217" s="19">
        <v>1697</v>
      </c>
      <c r="C1217" s="19">
        <v>3</v>
      </c>
      <c r="D1217" s="19">
        <v>2</v>
      </c>
      <c r="E1217" s="23" t="s">
        <v>27</v>
      </c>
      <c r="F1217" s="19" t="str">
        <f t="shared" si="4"/>
        <v>Medium</v>
      </c>
      <c r="G1217" s="19">
        <v>947900</v>
      </c>
      <c r="H1217" s="19" t="str">
        <f>IF(' BENGALURU HOUSE PRICE'!$G1217&lt;=500000,"Low",
IF(' BENGALURU HOUSE PRICE'!$G1217&lt;=1000000,"Medium",
IF(' BENGALURU HOUSE PRICE'!$G1217&lt;=3000000,"High","Luxury")))</f>
        <v>Medium</v>
      </c>
    </row>
    <row r="1218" spans="1:8" ht="15.75" customHeight="1" x14ac:dyDescent="0.25">
      <c r="A1218" s="19" t="s">
        <v>23</v>
      </c>
      <c r="B1218" s="19">
        <v>1651</v>
      </c>
      <c r="C1218" s="19">
        <v>3</v>
      </c>
      <c r="D1218" s="19">
        <v>3</v>
      </c>
      <c r="E1218" s="23" t="s">
        <v>27</v>
      </c>
      <c r="F1218" s="19" t="str">
        <f t="shared" si="4"/>
        <v>Medium</v>
      </c>
      <c r="G1218" s="19">
        <v>973800</v>
      </c>
      <c r="H1218" s="19" t="str">
        <f>IF(' BENGALURU HOUSE PRICE'!$G1218&lt;=500000,"Low",
IF(' BENGALURU HOUSE PRICE'!$G1218&lt;=1000000,"Medium",
IF(' BENGALURU HOUSE PRICE'!$G1218&lt;=3000000,"High","Luxury")))</f>
        <v>Medium</v>
      </c>
    </row>
    <row r="1219" spans="1:8" ht="15.75" customHeight="1" x14ac:dyDescent="0.25">
      <c r="A1219" s="19" t="s">
        <v>241</v>
      </c>
      <c r="B1219" s="19">
        <v>1560</v>
      </c>
      <c r="C1219" s="19">
        <v>3</v>
      </c>
      <c r="D1219" s="19">
        <v>1</v>
      </c>
      <c r="E1219" s="23" t="s">
        <v>27</v>
      </c>
      <c r="F1219" s="19" t="str">
        <f t="shared" si="4"/>
        <v>Medium</v>
      </c>
      <c r="G1219" s="19">
        <v>1880000</v>
      </c>
      <c r="H1219" s="19" t="str">
        <f>IF(' BENGALURU HOUSE PRICE'!$G1219&lt;=500000,"Low",
IF(' BENGALURU HOUSE PRICE'!$G1219&lt;=1000000,"Medium",
IF(' BENGALURU HOUSE PRICE'!$G1219&lt;=3000000,"High","Luxury")))</f>
        <v>High</v>
      </c>
    </row>
    <row r="1220" spans="1:8" ht="15.75" customHeight="1" x14ac:dyDescent="0.25">
      <c r="A1220" s="19" t="s">
        <v>111</v>
      </c>
      <c r="B1220" s="19">
        <v>1192</v>
      </c>
      <c r="C1220" s="19">
        <v>2</v>
      </c>
      <c r="D1220" s="19">
        <v>1</v>
      </c>
      <c r="E1220" s="23" t="s">
        <v>27</v>
      </c>
      <c r="F1220" s="19" t="str">
        <f t="shared" si="4"/>
        <v>Medium</v>
      </c>
      <c r="G1220" s="19">
        <v>600000</v>
      </c>
      <c r="H1220" s="19" t="str">
        <f>IF(' BENGALURU HOUSE PRICE'!$G1220&lt;=500000,"Low",
IF(' BENGALURU HOUSE PRICE'!$G1220&lt;=1000000,"Medium",
IF(' BENGALURU HOUSE PRICE'!$G1220&lt;=3000000,"High","Luxury")))</f>
        <v>Medium</v>
      </c>
    </row>
    <row r="1221" spans="1:8" ht="15.75" customHeight="1" x14ac:dyDescent="0.25">
      <c r="A1221" s="19" t="s">
        <v>191</v>
      </c>
      <c r="B1221" s="19">
        <v>1078</v>
      </c>
      <c r="C1221" s="19">
        <v>2</v>
      </c>
      <c r="D1221" s="19">
        <v>3</v>
      </c>
      <c r="E1221" s="23" t="s">
        <v>262</v>
      </c>
      <c r="F1221" s="19" t="str">
        <f t="shared" si="4"/>
        <v>Medium</v>
      </c>
      <c r="G1221" s="19">
        <v>650000</v>
      </c>
      <c r="H1221" s="19" t="str">
        <f>IF(' BENGALURU HOUSE PRICE'!$G1221&lt;=500000,"Low",
IF(' BENGALURU HOUSE PRICE'!$G1221&lt;=1000000,"Medium",
IF(' BENGALURU HOUSE PRICE'!$G1221&lt;=3000000,"High","Luxury")))</f>
        <v>Medium</v>
      </c>
    </row>
    <row r="1222" spans="1:8" ht="15.75" customHeight="1" x14ac:dyDescent="0.25">
      <c r="A1222" s="19" t="s">
        <v>300</v>
      </c>
      <c r="B1222" s="19">
        <v>800</v>
      </c>
      <c r="C1222" s="19">
        <v>7</v>
      </c>
      <c r="D1222" s="19">
        <v>3</v>
      </c>
      <c r="E1222" s="23" t="s">
        <v>290</v>
      </c>
      <c r="F1222" s="19" t="str">
        <f t="shared" si="4"/>
        <v>Small</v>
      </c>
      <c r="G1222" s="19">
        <v>1050000</v>
      </c>
      <c r="H1222" s="19" t="str">
        <f>IF(' BENGALURU HOUSE PRICE'!$G1222&lt;=500000,"Low",
IF(' BENGALURU HOUSE PRICE'!$G1222&lt;=1000000,"Medium",
IF(' BENGALURU HOUSE PRICE'!$G1222&lt;=3000000,"High","Luxury")))</f>
        <v>High</v>
      </c>
    </row>
    <row r="1223" spans="1:8" ht="15.75" customHeight="1" x14ac:dyDescent="0.25">
      <c r="A1223" s="19" t="s">
        <v>145</v>
      </c>
      <c r="B1223" s="19">
        <v>1349</v>
      </c>
      <c r="C1223" s="19">
        <v>2</v>
      </c>
      <c r="D1223" s="19">
        <v>2</v>
      </c>
      <c r="E1223" s="23" t="s">
        <v>262</v>
      </c>
      <c r="F1223" s="19" t="str">
        <f t="shared" si="4"/>
        <v>Medium</v>
      </c>
      <c r="G1223" s="19">
        <v>780000</v>
      </c>
      <c r="H1223" s="19" t="str">
        <f>IF(' BENGALURU HOUSE PRICE'!$G1223&lt;=500000,"Low",
IF(' BENGALURU HOUSE PRICE'!$G1223&lt;=1000000,"Medium",
IF(' BENGALURU HOUSE PRICE'!$G1223&lt;=3000000,"High","Luxury")))</f>
        <v>Medium</v>
      </c>
    </row>
    <row r="1224" spans="1:8" ht="15.75" customHeight="1" x14ac:dyDescent="0.25">
      <c r="A1224" s="19" t="s">
        <v>237</v>
      </c>
      <c r="B1224" s="19">
        <v>2300</v>
      </c>
      <c r="C1224" s="19">
        <v>8</v>
      </c>
      <c r="D1224" s="19">
        <v>1</v>
      </c>
      <c r="E1224" s="23" t="s">
        <v>377</v>
      </c>
      <c r="F1224" s="19" t="str">
        <f t="shared" si="4"/>
        <v>Large</v>
      </c>
      <c r="G1224" s="19">
        <v>2100000</v>
      </c>
      <c r="H1224" s="19" t="str">
        <f>IF(' BENGALURU HOUSE PRICE'!$G1224&lt;=500000,"Low",
IF(' BENGALURU HOUSE PRICE'!$G1224&lt;=1000000,"Medium",
IF(' BENGALURU HOUSE PRICE'!$G1224&lt;=3000000,"High","Luxury")))</f>
        <v>High</v>
      </c>
    </row>
    <row r="1225" spans="1:8" ht="15.75" customHeight="1" x14ac:dyDescent="0.25">
      <c r="A1225" s="19" t="s">
        <v>15</v>
      </c>
      <c r="B1225" s="19">
        <v>1680</v>
      </c>
      <c r="C1225" s="19">
        <v>3</v>
      </c>
      <c r="D1225" s="19">
        <v>2</v>
      </c>
      <c r="E1225" s="23" t="s">
        <v>27</v>
      </c>
      <c r="F1225" s="19" t="str">
        <f t="shared" si="4"/>
        <v>Medium</v>
      </c>
      <c r="G1225" s="19">
        <v>1200000</v>
      </c>
      <c r="H1225" s="19" t="str">
        <f>IF(' BENGALURU HOUSE PRICE'!$G1225&lt;=500000,"Low",
IF(' BENGALURU HOUSE PRICE'!$G1225&lt;=1000000,"Medium",
IF(' BENGALURU HOUSE PRICE'!$G1225&lt;=3000000,"High","Luxury")))</f>
        <v>High</v>
      </c>
    </row>
    <row r="1226" spans="1:8" ht="15.75" customHeight="1" x14ac:dyDescent="0.25">
      <c r="A1226" s="19" t="s">
        <v>201</v>
      </c>
      <c r="B1226" s="19">
        <v>1314</v>
      </c>
      <c r="C1226" s="19">
        <v>2</v>
      </c>
      <c r="D1226" s="19">
        <v>2</v>
      </c>
      <c r="E1226" s="23" t="s">
        <v>27</v>
      </c>
      <c r="F1226" s="19" t="str">
        <f t="shared" si="4"/>
        <v>Medium</v>
      </c>
      <c r="G1226" s="19">
        <v>630000</v>
      </c>
      <c r="H1226" s="19" t="str">
        <f>IF(' BENGALURU HOUSE PRICE'!$G1226&lt;=500000,"Low",
IF(' BENGALURU HOUSE PRICE'!$G1226&lt;=1000000,"Medium",
IF(' BENGALURU HOUSE PRICE'!$G1226&lt;=3000000,"High","Luxury")))</f>
        <v>Medium</v>
      </c>
    </row>
    <row r="1227" spans="1:8" ht="15.75" customHeight="1" x14ac:dyDescent="0.25">
      <c r="A1227" s="19" t="s">
        <v>100</v>
      </c>
      <c r="B1227" s="19">
        <v>1060</v>
      </c>
      <c r="C1227" s="19">
        <v>2</v>
      </c>
      <c r="D1227" s="19">
        <v>1</v>
      </c>
      <c r="E1227" s="23" t="s">
        <v>262</v>
      </c>
      <c r="F1227" s="19" t="str">
        <f t="shared" si="4"/>
        <v>Medium</v>
      </c>
      <c r="G1227" s="19">
        <v>487000</v>
      </c>
      <c r="H1227" s="19" t="str">
        <f>IF(' BENGALURU HOUSE PRICE'!$G1227&lt;=500000,"Low",
IF(' BENGALURU HOUSE PRICE'!$G1227&lt;=1000000,"Medium",
IF(' BENGALURU HOUSE PRICE'!$G1227&lt;=3000000,"High","Luxury")))</f>
        <v>Low</v>
      </c>
    </row>
    <row r="1228" spans="1:8" ht="15.75" customHeight="1" x14ac:dyDescent="0.25">
      <c r="A1228" s="19" t="s">
        <v>140</v>
      </c>
      <c r="B1228" s="19">
        <v>820</v>
      </c>
      <c r="C1228" s="19">
        <v>2</v>
      </c>
      <c r="D1228" s="19">
        <v>0</v>
      </c>
      <c r="E1228" s="23" t="s">
        <v>262</v>
      </c>
      <c r="F1228" s="19" t="str">
        <f t="shared" si="4"/>
        <v>Small</v>
      </c>
      <c r="G1228" s="19">
        <v>390000</v>
      </c>
      <c r="H1228" s="19" t="str">
        <f>IF(' BENGALURU HOUSE PRICE'!$G1228&lt;=500000,"Low",
IF(' BENGALURU HOUSE PRICE'!$G1228&lt;=1000000,"Medium",
IF(' BENGALURU HOUSE PRICE'!$G1228&lt;=3000000,"High","Luxury")))</f>
        <v>Low</v>
      </c>
    </row>
    <row r="1229" spans="1:8" ht="15.75" customHeight="1" x14ac:dyDescent="0.25">
      <c r="A1229" s="19" t="s">
        <v>25</v>
      </c>
      <c r="B1229" s="19">
        <v>5000</v>
      </c>
      <c r="C1229" s="19">
        <v>4</v>
      </c>
      <c r="D1229" s="19">
        <v>3</v>
      </c>
      <c r="E1229" s="23" t="s">
        <v>264</v>
      </c>
      <c r="F1229" s="19" t="str">
        <f t="shared" si="4"/>
        <v>Large</v>
      </c>
      <c r="G1229" s="19">
        <v>4000000</v>
      </c>
      <c r="H1229" s="19" t="str">
        <f>IF(' BENGALURU HOUSE PRICE'!$G1229&lt;=500000,"Low",
IF(' BENGALURU HOUSE PRICE'!$G1229&lt;=1000000,"Medium",
IF(' BENGALURU HOUSE PRICE'!$G1229&lt;=3000000,"High","Luxury")))</f>
        <v>Luxury</v>
      </c>
    </row>
    <row r="1230" spans="1:8" ht="15.75" customHeight="1" x14ac:dyDescent="0.25">
      <c r="A1230" s="19" t="s">
        <v>60</v>
      </c>
      <c r="B1230" s="19">
        <v>2000</v>
      </c>
      <c r="C1230" s="19">
        <v>3</v>
      </c>
      <c r="D1230" s="19">
        <v>2</v>
      </c>
      <c r="E1230" s="23" t="s">
        <v>27</v>
      </c>
      <c r="F1230" s="19" t="str">
        <f t="shared" si="4"/>
        <v>Medium</v>
      </c>
      <c r="G1230" s="19">
        <v>850000</v>
      </c>
      <c r="H1230" s="19" t="str">
        <f>IF(' BENGALURU HOUSE PRICE'!$G1230&lt;=500000,"Low",
IF(' BENGALURU HOUSE PRICE'!$G1230&lt;=1000000,"Medium",
IF(' BENGALURU HOUSE PRICE'!$G1230&lt;=3000000,"High","Luxury")))</f>
        <v>Medium</v>
      </c>
    </row>
    <row r="1231" spans="1:8" ht="15.75" customHeight="1" x14ac:dyDescent="0.25">
      <c r="A1231" s="19" t="s">
        <v>480</v>
      </c>
      <c r="B1231" s="19">
        <v>856</v>
      </c>
      <c r="C1231" s="19">
        <v>2</v>
      </c>
      <c r="D1231" s="19">
        <v>3</v>
      </c>
      <c r="E1231" s="23" t="s">
        <v>262</v>
      </c>
      <c r="F1231" s="19" t="str">
        <f t="shared" si="4"/>
        <v>Small</v>
      </c>
      <c r="G1231" s="19">
        <v>400000</v>
      </c>
      <c r="H1231" s="19" t="str">
        <f>IF(' BENGALURU HOUSE PRICE'!$G1231&lt;=500000,"Low",
IF(' BENGALURU HOUSE PRICE'!$G1231&lt;=1000000,"Medium",
IF(' BENGALURU HOUSE PRICE'!$G1231&lt;=3000000,"High","Luxury")))</f>
        <v>Low</v>
      </c>
    </row>
    <row r="1232" spans="1:8" ht="15.75" customHeight="1" x14ac:dyDescent="0.25">
      <c r="A1232" s="19" t="s">
        <v>197</v>
      </c>
      <c r="B1232" s="19">
        <v>1621</v>
      </c>
      <c r="C1232" s="19">
        <v>4</v>
      </c>
      <c r="D1232" s="19">
        <v>0</v>
      </c>
      <c r="E1232" s="23" t="s">
        <v>27</v>
      </c>
      <c r="F1232" s="19" t="str">
        <f t="shared" si="4"/>
        <v>Medium</v>
      </c>
      <c r="G1232" s="19">
        <v>1300000</v>
      </c>
      <c r="H1232" s="19" t="str">
        <f>IF(' BENGALURU HOUSE PRICE'!$G1232&lt;=500000,"Low",
IF(' BENGALURU HOUSE PRICE'!$G1232&lt;=1000000,"Medium",
IF(' BENGALURU HOUSE PRICE'!$G1232&lt;=3000000,"High","Luxury")))</f>
        <v>High</v>
      </c>
    </row>
    <row r="1233" spans="1:8" ht="15.75" customHeight="1" x14ac:dyDescent="0.25">
      <c r="A1233" s="19" t="s">
        <v>127</v>
      </c>
      <c r="B1233" s="19">
        <v>1200</v>
      </c>
      <c r="C1233" s="19">
        <v>3</v>
      </c>
      <c r="D1233" s="19">
        <v>1</v>
      </c>
      <c r="E1233" s="23" t="s">
        <v>27</v>
      </c>
      <c r="F1233" s="19" t="str">
        <f t="shared" si="4"/>
        <v>Medium</v>
      </c>
      <c r="G1233" s="19">
        <v>684000</v>
      </c>
      <c r="H1233" s="19" t="str">
        <f>IF(' BENGALURU HOUSE PRICE'!$G1233&lt;=500000,"Low",
IF(' BENGALURU HOUSE PRICE'!$G1233&lt;=1000000,"Medium",
IF(' BENGALURU HOUSE PRICE'!$G1233&lt;=3000000,"High","Luxury")))</f>
        <v>Medium</v>
      </c>
    </row>
    <row r="1234" spans="1:8" ht="15.75" customHeight="1" x14ac:dyDescent="0.25">
      <c r="A1234" s="19" t="s">
        <v>52</v>
      </c>
      <c r="B1234" s="19">
        <v>1484</v>
      </c>
      <c r="C1234" s="19">
        <v>3</v>
      </c>
      <c r="D1234" s="19">
        <v>2</v>
      </c>
      <c r="E1234" s="23" t="s">
        <v>27</v>
      </c>
      <c r="F1234" s="19" t="str">
        <f t="shared" si="4"/>
        <v>Medium</v>
      </c>
      <c r="G1234" s="19">
        <v>525000</v>
      </c>
      <c r="H1234" s="19" t="str">
        <f>IF(' BENGALURU HOUSE PRICE'!$G1234&lt;=500000,"Low",
IF(' BENGALURU HOUSE PRICE'!$G1234&lt;=1000000,"Medium",
IF(' BENGALURU HOUSE PRICE'!$G1234&lt;=3000000,"High","Luxury")))</f>
        <v>Medium</v>
      </c>
    </row>
    <row r="1235" spans="1:8" ht="15.75" customHeight="1" x14ac:dyDescent="0.25">
      <c r="A1235" s="19" t="s">
        <v>481</v>
      </c>
      <c r="B1235" s="19">
        <v>600</v>
      </c>
      <c r="C1235" s="19">
        <v>5</v>
      </c>
      <c r="D1235" s="19">
        <v>2</v>
      </c>
      <c r="E1235" s="23" t="s">
        <v>264</v>
      </c>
      <c r="F1235" s="19" t="str">
        <f t="shared" si="4"/>
        <v>Small</v>
      </c>
      <c r="G1235" s="19">
        <v>600000</v>
      </c>
      <c r="H1235" s="19" t="str">
        <f>IF(' BENGALURU HOUSE PRICE'!$G1235&lt;=500000,"Low",
IF(' BENGALURU HOUSE PRICE'!$G1235&lt;=1000000,"Medium",
IF(' BENGALURU HOUSE PRICE'!$G1235&lt;=3000000,"High","Luxury")))</f>
        <v>Medium</v>
      </c>
    </row>
    <row r="1236" spans="1:8" ht="15.75" customHeight="1" x14ac:dyDescent="0.25">
      <c r="A1236" s="19" t="s">
        <v>6</v>
      </c>
      <c r="B1236" s="19">
        <v>14000</v>
      </c>
      <c r="C1236" s="19">
        <v>3</v>
      </c>
      <c r="D1236" s="19">
        <v>2</v>
      </c>
      <c r="E1236" s="23" t="s">
        <v>264</v>
      </c>
      <c r="F1236" s="19" t="str">
        <f t="shared" si="4"/>
        <v>Large</v>
      </c>
      <c r="G1236" s="19">
        <v>8000000</v>
      </c>
      <c r="H1236" s="19" t="str">
        <f>IF(' BENGALURU HOUSE PRICE'!$G1236&lt;=500000,"Low",
IF(' BENGALURU HOUSE PRICE'!$G1236&lt;=1000000,"Medium",
IF(' BENGALURU HOUSE PRICE'!$G1236&lt;=3000000,"High","Luxury")))</f>
        <v>Luxury</v>
      </c>
    </row>
    <row r="1237" spans="1:8" ht="15.75" customHeight="1" x14ac:dyDescent="0.25">
      <c r="A1237" s="19" t="s">
        <v>423</v>
      </c>
      <c r="B1237" s="19">
        <v>500</v>
      </c>
      <c r="C1237" s="19">
        <v>1</v>
      </c>
      <c r="D1237" s="19">
        <v>1</v>
      </c>
      <c r="E1237" s="23" t="s">
        <v>267</v>
      </c>
      <c r="F1237" s="19" t="str">
        <f t="shared" si="4"/>
        <v>Small</v>
      </c>
      <c r="G1237" s="19">
        <v>200000</v>
      </c>
      <c r="H1237" s="19" t="str">
        <f>IF(' BENGALURU HOUSE PRICE'!$G1237&lt;=500000,"Low",
IF(' BENGALURU HOUSE PRICE'!$G1237&lt;=1000000,"Medium",
IF(' BENGALURU HOUSE PRICE'!$G1237&lt;=3000000,"High","Luxury")))</f>
        <v>Low</v>
      </c>
    </row>
    <row r="1238" spans="1:8" ht="15.75" customHeight="1" x14ac:dyDescent="0.25">
      <c r="A1238" s="19" t="s">
        <v>482</v>
      </c>
      <c r="B1238" s="19">
        <v>485</v>
      </c>
      <c r="C1238" s="19">
        <v>1</v>
      </c>
      <c r="D1238" s="19">
        <v>1</v>
      </c>
      <c r="E1238" s="23" t="s">
        <v>267</v>
      </c>
      <c r="F1238" s="19" t="str">
        <f t="shared" si="4"/>
        <v>Small</v>
      </c>
      <c r="G1238" s="19">
        <v>150000</v>
      </c>
      <c r="H1238" s="19" t="str">
        <f>IF(' BENGALURU HOUSE PRICE'!$G1238&lt;=500000,"Low",
IF(' BENGALURU HOUSE PRICE'!$G1238&lt;=1000000,"Medium",
IF(' BENGALURU HOUSE PRICE'!$G1238&lt;=3000000,"High","Luxury")))</f>
        <v>Low</v>
      </c>
    </row>
    <row r="1239" spans="1:8" ht="15.75" customHeight="1" x14ac:dyDescent="0.25">
      <c r="A1239" s="19" t="s">
        <v>15</v>
      </c>
      <c r="B1239" s="19">
        <v>1050</v>
      </c>
      <c r="C1239" s="19">
        <v>2</v>
      </c>
      <c r="D1239" s="19">
        <v>1</v>
      </c>
      <c r="E1239" s="23" t="s">
        <v>262</v>
      </c>
      <c r="F1239" s="19" t="str">
        <f t="shared" si="4"/>
        <v>Medium</v>
      </c>
      <c r="G1239" s="19">
        <v>420000</v>
      </c>
      <c r="H1239" s="19" t="str">
        <f>IF(' BENGALURU HOUSE PRICE'!$G1239&lt;=500000,"Low",
IF(' BENGALURU HOUSE PRICE'!$G1239&lt;=1000000,"Medium",
IF(' BENGALURU HOUSE PRICE'!$G1239&lt;=3000000,"High","Luxury")))</f>
        <v>Low</v>
      </c>
    </row>
    <row r="1240" spans="1:8" ht="15.75" customHeight="1" x14ac:dyDescent="0.25">
      <c r="A1240" s="19" t="s">
        <v>24</v>
      </c>
      <c r="B1240" s="19">
        <v>1617</v>
      </c>
      <c r="C1240" s="19">
        <v>3</v>
      </c>
      <c r="D1240" s="19">
        <v>3</v>
      </c>
      <c r="E1240" s="23" t="s">
        <v>27</v>
      </c>
      <c r="F1240" s="19" t="str">
        <f t="shared" si="4"/>
        <v>Medium</v>
      </c>
      <c r="G1240" s="19">
        <v>666800</v>
      </c>
      <c r="H1240" s="19" t="str">
        <f>IF(' BENGALURU HOUSE PRICE'!$G1240&lt;=500000,"Low",
IF(' BENGALURU HOUSE PRICE'!$G1240&lt;=1000000,"Medium",
IF(' BENGALURU HOUSE PRICE'!$G1240&lt;=3000000,"High","Luxury")))</f>
        <v>Medium</v>
      </c>
    </row>
    <row r="1241" spans="1:8" ht="15.75" customHeight="1" x14ac:dyDescent="0.25">
      <c r="A1241" s="19" t="s">
        <v>16</v>
      </c>
      <c r="B1241" s="19">
        <v>550</v>
      </c>
      <c r="C1241" s="19">
        <v>1</v>
      </c>
      <c r="D1241" s="19">
        <v>1</v>
      </c>
      <c r="E1241" s="23" t="s">
        <v>262</v>
      </c>
      <c r="F1241" s="19" t="str">
        <f t="shared" si="4"/>
        <v>Small</v>
      </c>
      <c r="G1241" s="19">
        <v>160000</v>
      </c>
      <c r="H1241" s="19" t="str">
        <f>IF(' BENGALURU HOUSE PRICE'!$G1241&lt;=500000,"Low",
IF(' BENGALURU HOUSE PRICE'!$G1241&lt;=1000000,"Medium",
IF(' BENGALURU HOUSE PRICE'!$G1241&lt;=3000000,"High","Luxury")))</f>
        <v>Low</v>
      </c>
    </row>
    <row r="1242" spans="1:8" ht="15.75" customHeight="1" x14ac:dyDescent="0.25">
      <c r="A1242" s="19" t="s">
        <v>205</v>
      </c>
      <c r="B1242" s="19">
        <v>1384</v>
      </c>
      <c r="C1242" s="19">
        <v>3</v>
      </c>
      <c r="D1242" s="19">
        <v>2</v>
      </c>
      <c r="E1242" s="23" t="s">
        <v>27</v>
      </c>
      <c r="F1242" s="19" t="str">
        <f t="shared" si="4"/>
        <v>Medium</v>
      </c>
      <c r="G1242" s="19">
        <v>622800</v>
      </c>
      <c r="H1242" s="19" t="str">
        <f>IF(' BENGALURU HOUSE PRICE'!$G1242&lt;=500000,"Low",
IF(' BENGALURU HOUSE PRICE'!$G1242&lt;=1000000,"Medium",
IF(' BENGALURU HOUSE PRICE'!$G1242&lt;=3000000,"High","Luxury")))</f>
        <v>Medium</v>
      </c>
    </row>
    <row r="1243" spans="1:8" ht="15.75" customHeight="1" x14ac:dyDescent="0.25">
      <c r="A1243" s="19" t="s">
        <v>86</v>
      </c>
      <c r="B1243" s="19">
        <v>1408</v>
      </c>
      <c r="C1243" s="19">
        <v>2</v>
      </c>
      <c r="D1243" s="19">
        <v>2</v>
      </c>
      <c r="E1243" s="23" t="s">
        <v>262</v>
      </c>
      <c r="F1243" s="19" t="str">
        <f t="shared" si="4"/>
        <v>Medium</v>
      </c>
      <c r="G1243" s="19">
        <v>850000</v>
      </c>
      <c r="H1243" s="19" t="str">
        <f>IF(' BENGALURU HOUSE PRICE'!$G1243&lt;=500000,"Low",
IF(' BENGALURU HOUSE PRICE'!$G1243&lt;=1000000,"Medium",
IF(' BENGALURU HOUSE PRICE'!$G1243&lt;=3000000,"High","Luxury")))</f>
        <v>Medium</v>
      </c>
    </row>
    <row r="1244" spans="1:8" ht="15.75" customHeight="1" x14ac:dyDescent="0.25">
      <c r="A1244" s="19" t="s">
        <v>24</v>
      </c>
      <c r="B1244" s="19">
        <v>1150</v>
      </c>
      <c r="C1244" s="19">
        <v>2</v>
      </c>
      <c r="D1244" s="19">
        <v>1</v>
      </c>
      <c r="E1244" s="23" t="s">
        <v>262</v>
      </c>
      <c r="F1244" s="19" t="str">
        <f t="shared" si="4"/>
        <v>Medium</v>
      </c>
      <c r="G1244" s="19">
        <v>490000</v>
      </c>
      <c r="H1244" s="19" t="str">
        <f>IF(' BENGALURU HOUSE PRICE'!$G1244&lt;=500000,"Low",
IF(' BENGALURU HOUSE PRICE'!$G1244&lt;=1000000,"Medium",
IF(' BENGALURU HOUSE PRICE'!$G1244&lt;=3000000,"High","Luxury")))</f>
        <v>Low</v>
      </c>
    </row>
    <row r="1245" spans="1:8" ht="15.75" customHeight="1" x14ac:dyDescent="0.25">
      <c r="A1245" s="19" t="s">
        <v>35</v>
      </c>
      <c r="B1245" s="19">
        <v>1410</v>
      </c>
      <c r="C1245" s="19">
        <v>2</v>
      </c>
      <c r="D1245" s="19">
        <v>2</v>
      </c>
      <c r="E1245" s="23" t="s">
        <v>27</v>
      </c>
      <c r="F1245" s="19" t="str">
        <f t="shared" si="4"/>
        <v>Medium</v>
      </c>
      <c r="G1245" s="19">
        <v>750000</v>
      </c>
      <c r="H1245" s="19" t="str">
        <f>IF(' BENGALURU HOUSE PRICE'!$G1245&lt;=500000,"Low",
IF(' BENGALURU HOUSE PRICE'!$G1245&lt;=1000000,"Medium",
IF(' BENGALURU HOUSE PRICE'!$G1245&lt;=3000000,"High","Luxury")))</f>
        <v>Medium</v>
      </c>
    </row>
    <row r="1246" spans="1:8" ht="15.75" customHeight="1" x14ac:dyDescent="0.25">
      <c r="A1246" s="19" t="s">
        <v>137</v>
      </c>
      <c r="B1246" s="19">
        <v>2150</v>
      </c>
      <c r="C1246" s="19">
        <v>4</v>
      </c>
      <c r="D1246" s="19">
        <v>1</v>
      </c>
      <c r="E1246" s="23" t="s">
        <v>264</v>
      </c>
      <c r="F1246" s="19" t="str">
        <f t="shared" si="4"/>
        <v>Large</v>
      </c>
      <c r="G1246" s="19">
        <v>1000000</v>
      </c>
      <c r="H1246" s="19" t="str">
        <f>IF(' BENGALURU HOUSE PRICE'!$G1246&lt;=500000,"Low",
IF(' BENGALURU HOUSE PRICE'!$G1246&lt;=1000000,"Medium",
IF(' BENGALURU HOUSE PRICE'!$G1246&lt;=3000000,"High","Luxury")))</f>
        <v>Medium</v>
      </c>
    </row>
    <row r="1247" spans="1:8" ht="15.75" customHeight="1" x14ac:dyDescent="0.25">
      <c r="A1247" s="19" t="s">
        <v>157</v>
      </c>
      <c r="B1247" s="19">
        <v>2292</v>
      </c>
      <c r="C1247" s="19">
        <v>4</v>
      </c>
      <c r="D1247" s="19">
        <v>1</v>
      </c>
      <c r="E1247" s="23" t="s">
        <v>27</v>
      </c>
      <c r="F1247" s="19" t="str">
        <f t="shared" si="4"/>
        <v>Large</v>
      </c>
      <c r="G1247" s="19">
        <v>2750000</v>
      </c>
      <c r="H1247" s="19" t="str">
        <f>IF(' BENGALURU HOUSE PRICE'!$G1247&lt;=500000,"Low",
IF(' BENGALURU HOUSE PRICE'!$G1247&lt;=1000000,"Medium",
IF(' BENGALURU HOUSE PRICE'!$G1247&lt;=3000000,"High","Luxury")))</f>
        <v>High</v>
      </c>
    </row>
    <row r="1248" spans="1:8" ht="15.75" customHeight="1" x14ac:dyDescent="0.25">
      <c r="A1248" s="19" t="s">
        <v>171</v>
      </c>
      <c r="B1248" s="19">
        <v>2006</v>
      </c>
      <c r="C1248" s="19">
        <v>3</v>
      </c>
      <c r="D1248" s="19">
        <v>2</v>
      </c>
      <c r="E1248" s="23" t="s">
        <v>27</v>
      </c>
      <c r="F1248" s="19" t="str">
        <f t="shared" si="4"/>
        <v>Large</v>
      </c>
      <c r="G1248" s="19">
        <v>2970000</v>
      </c>
      <c r="H1248" s="19" t="str">
        <f>IF(' BENGALURU HOUSE PRICE'!$G1248&lt;=500000,"Low",
IF(' BENGALURU HOUSE PRICE'!$G1248&lt;=1000000,"Medium",
IF(' BENGALURU HOUSE PRICE'!$G1248&lt;=3000000,"High","Luxury")))</f>
        <v>High</v>
      </c>
    </row>
    <row r="1249" spans="1:8" ht="15.75" customHeight="1" x14ac:dyDescent="0.25">
      <c r="A1249" s="19" t="s">
        <v>176</v>
      </c>
      <c r="B1249" s="19">
        <v>1508</v>
      </c>
      <c r="C1249" s="19">
        <v>3</v>
      </c>
      <c r="D1249" s="19">
        <v>2</v>
      </c>
      <c r="E1249" s="23" t="s">
        <v>27</v>
      </c>
      <c r="F1249" s="19" t="str">
        <f t="shared" si="4"/>
        <v>Medium</v>
      </c>
      <c r="G1249" s="19">
        <v>702500</v>
      </c>
      <c r="H1249" s="19" t="str">
        <f>IF(' BENGALURU HOUSE PRICE'!$G1249&lt;=500000,"Low",
IF(' BENGALURU HOUSE PRICE'!$G1249&lt;=1000000,"Medium",
IF(' BENGALURU HOUSE PRICE'!$G1249&lt;=3000000,"High","Luxury")))</f>
        <v>Medium</v>
      </c>
    </row>
    <row r="1250" spans="1:8" ht="15.75" customHeight="1" x14ac:dyDescent="0.25">
      <c r="A1250" s="19" t="s">
        <v>285</v>
      </c>
      <c r="B1250" s="19">
        <v>1040</v>
      </c>
      <c r="C1250" s="19">
        <v>2</v>
      </c>
      <c r="D1250" s="19">
        <v>2</v>
      </c>
      <c r="E1250" s="23" t="s">
        <v>262</v>
      </c>
      <c r="F1250" s="19" t="str">
        <f t="shared" si="4"/>
        <v>Medium</v>
      </c>
      <c r="G1250" s="19">
        <v>500000</v>
      </c>
      <c r="H1250" s="19" t="str">
        <f>IF(' BENGALURU HOUSE PRICE'!$G1250&lt;=500000,"Low",
IF(' BENGALURU HOUSE PRICE'!$G1250&lt;=1000000,"Medium",
IF(' BENGALURU HOUSE PRICE'!$G1250&lt;=3000000,"High","Luxury")))</f>
        <v>Low</v>
      </c>
    </row>
    <row r="1251" spans="1:8" ht="15.75" customHeight="1" x14ac:dyDescent="0.25">
      <c r="A1251" s="19" t="s">
        <v>229</v>
      </c>
      <c r="B1251" s="19">
        <v>1240</v>
      </c>
      <c r="C1251" s="19">
        <v>2</v>
      </c>
      <c r="D1251" s="19">
        <v>1</v>
      </c>
      <c r="E1251" s="23" t="s">
        <v>262</v>
      </c>
      <c r="F1251" s="19" t="str">
        <f t="shared" si="4"/>
        <v>Medium</v>
      </c>
      <c r="G1251" s="19">
        <v>600000</v>
      </c>
      <c r="H1251" s="19" t="str">
        <f>IF(' BENGALURU HOUSE PRICE'!$G1251&lt;=500000,"Low",
IF(' BENGALURU HOUSE PRICE'!$G1251&lt;=1000000,"Medium",
IF(' BENGALURU HOUSE PRICE'!$G1251&lt;=3000000,"High","Luxury")))</f>
        <v>Medium</v>
      </c>
    </row>
    <row r="1252" spans="1:8" ht="15.75" customHeight="1" x14ac:dyDescent="0.25">
      <c r="A1252" s="19" t="s">
        <v>160</v>
      </c>
      <c r="B1252" s="19">
        <v>1535</v>
      </c>
      <c r="C1252" s="19">
        <v>3</v>
      </c>
      <c r="D1252" s="19">
        <v>1</v>
      </c>
      <c r="E1252" s="23" t="s">
        <v>27</v>
      </c>
      <c r="F1252" s="19" t="str">
        <f t="shared" si="4"/>
        <v>Medium</v>
      </c>
      <c r="G1252" s="19">
        <v>780000</v>
      </c>
      <c r="H1252" s="19" t="str">
        <f>IF(' BENGALURU HOUSE PRICE'!$G1252&lt;=500000,"Low",
IF(' BENGALURU HOUSE PRICE'!$G1252&lt;=1000000,"Medium",
IF(' BENGALURU HOUSE PRICE'!$G1252&lt;=3000000,"High","Luxury")))</f>
        <v>Medium</v>
      </c>
    </row>
    <row r="1253" spans="1:8" ht="15.75" customHeight="1" x14ac:dyDescent="0.25">
      <c r="A1253" s="19" t="s">
        <v>164</v>
      </c>
      <c r="B1253" s="19">
        <v>1180</v>
      </c>
      <c r="C1253" s="19">
        <v>2</v>
      </c>
      <c r="D1253" s="19">
        <v>2</v>
      </c>
      <c r="E1253" s="23" t="s">
        <v>262</v>
      </c>
      <c r="F1253" s="19" t="str">
        <f t="shared" si="4"/>
        <v>Medium</v>
      </c>
      <c r="G1253" s="19">
        <v>750000</v>
      </c>
      <c r="H1253" s="19" t="str">
        <f>IF(' BENGALURU HOUSE PRICE'!$G1253&lt;=500000,"Low",
IF(' BENGALURU HOUSE PRICE'!$G1253&lt;=1000000,"Medium",
IF(' BENGALURU HOUSE PRICE'!$G1253&lt;=3000000,"High","Luxury")))</f>
        <v>Medium</v>
      </c>
    </row>
    <row r="1254" spans="1:8" ht="15.75" customHeight="1" x14ac:dyDescent="0.25">
      <c r="A1254" s="19" t="s">
        <v>404</v>
      </c>
      <c r="B1254" s="19">
        <v>2200</v>
      </c>
      <c r="C1254" s="19">
        <v>6</v>
      </c>
      <c r="D1254" s="19">
        <v>2</v>
      </c>
      <c r="E1254" s="23" t="s">
        <v>266</v>
      </c>
      <c r="F1254" s="19" t="str">
        <f t="shared" si="4"/>
        <v>Large</v>
      </c>
      <c r="G1254" s="19">
        <v>680000</v>
      </c>
      <c r="H1254" s="19" t="str">
        <f>IF(' BENGALURU HOUSE PRICE'!$G1254&lt;=500000,"Low",
IF(' BENGALURU HOUSE PRICE'!$G1254&lt;=1000000,"Medium",
IF(' BENGALURU HOUSE PRICE'!$G1254&lt;=3000000,"High","Luxury")))</f>
        <v>Medium</v>
      </c>
    </row>
    <row r="1255" spans="1:8" ht="15.75" customHeight="1" x14ac:dyDescent="0.25">
      <c r="A1255" s="19" t="s">
        <v>52</v>
      </c>
      <c r="B1255" s="19">
        <v>1400</v>
      </c>
      <c r="C1255" s="19">
        <v>2</v>
      </c>
      <c r="D1255" s="19">
        <v>2</v>
      </c>
      <c r="E1255" s="23" t="s">
        <v>262</v>
      </c>
      <c r="F1255" s="19" t="str">
        <f t="shared" si="4"/>
        <v>Medium</v>
      </c>
      <c r="G1255" s="19">
        <v>780000</v>
      </c>
      <c r="H1255" s="19" t="str">
        <f>IF(' BENGALURU HOUSE PRICE'!$G1255&lt;=500000,"Low",
IF(' BENGALURU HOUSE PRICE'!$G1255&lt;=1000000,"Medium",
IF(' BENGALURU HOUSE PRICE'!$G1255&lt;=3000000,"High","Luxury")))</f>
        <v>Medium</v>
      </c>
    </row>
    <row r="1256" spans="1:8" ht="15.75" customHeight="1" x14ac:dyDescent="0.25">
      <c r="A1256" s="19" t="s">
        <v>21</v>
      </c>
      <c r="B1256" s="19">
        <v>500</v>
      </c>
      <c r="C1256" s="19">
        <v>1</v>
      </c>
      <c r="D1256" s="19">
        <v>1</v>
      </c>
      <c r="E1256" s="23" t="s">
        <v>267</v>
      </c>
      <c r="F1256" s="19" t="str">
        <f t="shared" si="4"/>
        <v>Small</v>
      </c>
      <c r="G1256" s="19">
        <v>250000</v>
      </c>
      <c r="H1256" s="19" t="str">
        <f>IF(' BENGALURU HOUSE PRICE'!$G1256&lt;=500000,"Low",
IF(' BENGALURU HOUSE PRICE'!$G1256&lt;=1000000,"Medium",
IF(' BENGALURU HOUSE PRICE'!$G1256&lt;=3000000,"High","Luxury")))</f>
        <v>Low</v>
      </c>
    </row>
  </sheetData>
  <customSheetViews>
    <customSheetView guid="{84C94AF0-73C6-4918-A7C9-ADB795158F72}" filter="1" showAutoFilter="1">
      <pageMargins left="0.7" right="0.7" top="0.75" bottom="0.75" header="0.3" footer="0.3"/>
      <autoFilter ref="A1:H1256" xr:uid="{2D6B23D8-823F-4193-B92D-E1BE2D9DF82A}"/>
      <extLst>
        <ext uri="GoogleSheetsCustomDataVersion1">
          <go:sheetsCustomData xmlns:go="http://customooxmlschemas.google.com/" filterViewId="1152875641"/>
        </ext>
      </extLst>
    </customSheetView>
  </customSheetViews>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Sheet2</vt:lpstr>
      <vt:lpstr>Sheet3</vt:lpstr>
      <vt:lpstr>Sheet1</vt:lpstr>
      <vt:lpstr>Sheet4</vt:lpstr>
      <vt:lpstr> BENGALURU HOUSE PRICE</vt:lpstr>
      <vt:lpstr>' BENGALURU HOUSE PRICE'!ExternalData_3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AJ JAHLA</cp:lastModifiedBy>
  <dcterms:created xsi:type="dcterms:W3CDTF">2025-10-24T09:57:37Z</dcterms:created>
  <dcterms:modified xsi:type="dcterms:W3CDTF">2026-02-14T10:07:14Z</dcterms:modified>
</cp:coreProperties>
</file>